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1.1"/>
    <sheet r:id="rId2" sheetId="2" name="1.2"/>
    <sheet r:id="rId3" sheetId="3" name="1.3"/>
  </sheets>
  <calcPr fullCalcOnLoad="1"/>
</workbook>
</file>

<file path=xl/sharedStrings.xml><?xml version="1.0" encoding="utf-8"?>
<sst xmlns="http://schemas.openxmlformats.org/spreadsheetml/2006/main" count="1197" uniqueCount="40">
  <si>
    <t>TestID</t>
  </si>
  <si>
    <t>ItemType</t>
  </si>
  <si>
    <t>AgeGroup</t>
  </si>
  <si>
    <t>Age</t>
  </si>
  <si>
    <t>LoanLength(days)</t>
  </si>
  <si>
    <t>Fees</t>
  </si>
  <si>
    <t>GardeningTraining</t>
  </si>
  <si>
    <t>CarpentryTraining</t>
  </si>
  <si>
    <t>Expected Discount (%)</t>
  </si>
  <si>
    <t>Expected Output (%)</t>
  </si>
  <si>
    <t>Book</t>
  </si>
  <si>
    <t>Age18to89</t>
  </si>
  <si>
    <t>Yes</t>
  </si>
  <si>
    <t>NotCompleted</t>
  </si>
  <si>
    <t>Completed</t>
  </si>
  <si>
    <t>Borrow Denied</t>
  </si>
  <si>
    <t>Carpentry</t>
  </si>
  <si>
    <t>Above90</t>
  </si>
  <si>
    <t>No</t>
  </si>
  <si>
    <t>N/A</t>
  </si>
  <si>
    <t>Under18</t>
  </si>
  <si>
    <t>Gardening</t>
  </si>
  <si>
    <t>Borrow Allowed</t>
  </si>
  <si>
    <t>Descriptions</t>
  </si>
  <si>
    <t>Expected Output (Discount%)</t>
  </si>
  <si>
    <t>Check Whether the system correctly applied disount for patrons according to the age</t>
  </si>
  <si>
    <t>18-49</t>
  </si>
  <si>
    <t>50-64</t>
  </si>
  <si>
    <t>65-89</t>
  </si>
  <si>
    <t>Above 90</t>
  </si>
  <si>
    <t>Outstanding Fees</t>
  </si>
  <si>
    <t>Gardening Training</t>
  </si>
  <si>
    <t>Carpentry Training</t>
  </si>
  <si>
    <t>Expected Output</t>
  </si>
  <si>
    <t>Check Whether the system correctly applied borrowing rules for patrons by combining categories of item type, age, loan length, fees and training status</t>
  </si>
  <si>
    <t>Under 18</t>
  </si>
  <si>
    <t>Not Completed</t>
  </si>
  <si>
    <t>18-89</t>
  </si>
  <si>
    <t>Gardening Tool</t>
  </si>
  <si>
    <t>Carpentry Tool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</si>
</sst>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ccff"/>
      </patternFill>
    </fill>
    <fill>
      <patternFill patternType="solid">
        <fgColor rgb="FF4f81bd"/>
      </patternFill>
    </fill>
    <fill>
      <patternFill patternType="solid">
        <fgColor rgb="FFffff00"/>
      </patternFill>
    </fill>
    <fill>
      <patternFill patternType="solid">
        <fgColor rgb="FFeeece1"/>
      </patternFill>
    </fill>
    <fill>
      <patternFill patternType="solid">
        <fgColor rgb="FFffc000"/>
      </patternFill>
    </fill>
    <fill>
      <patternFill patternType="solid">
        <fgColor rgb="FFdce6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2" applyFont="1" fillId="3" applyFill="1" applyAlignment="1">
      <alignment horizontal="right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5" applyFill="1" applyAlignment="1">
      <alignment horizontal="right"/>
    </xf>
    <xf xfId="0" numFmtId="0" borderId="1" applyBorder="1" fontId="2" applyFont="1" fillId="5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center" vertical="top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/>
    </xf>
    <xf xfId="0" numFmtId="1" applyNumberFormat="1" borderId="1" applyBorder="1" fontId="1" applyFont="1" fillId="2" applyFill="1" applyAlignment="1">
      <alignment horizontal="center" wrapText="1"/>
    </xf>
    <xf xfId="0" numFmtId="0" borderId="1" applyBorder="1" fontId="2" applyFont="1" fillId="6" applyFill="1" applyAlignment="1">
      <alignment horizontal="left"/>
    </xf>
    <xf xfId="0" numFmtId="0" borderId="2" applyBorder="1" fontId="2" applyFont="1" fillId="0" applyAlignment="1">
      <alignment horizontal="left" vertical="top" wrapText="1"/>
    </xf>
    <xf xfId="0" numFmtId="1" applyNumberFormat="1" borderId="1" applyBorder="1" fontId="2" applyFont="1" fillId="0" applyAlignment="1">
      <alignment horizontal="right"/>
    </xf>
    <xf xfId="0" numFmtId="0" borderId="1" applyBorder="1" fontId="2" applyFont="1" fillId="5" applyFill="1" applyAlignment="1">
      <alignment horizontal="left"/>
    </xf>
    <xf xfId="0" numFmtId="0" borderId="3" applyBorder="1" fontId="2" applyFont="1" fillId="0" applyAlignment="1">
      <alignment horizontal="left" wrapText="1"/>
    </xf>
    <xf xfId="0" numFmtId="1" applyNumberFormat="1" borderId="1" applyBorder="1" fontId="2" applyFont="1" fillId="3" applyFill="1" applyAlignment="1">
      <alignment horizontal="right"/>
    </xf>
    <xf xfId="0" numFmtId="0" borderId="1" applyBorder="1" fontId="2" applyFont="1" fillId="7" applyFill="1" applyAlignment="1">
      <alignment horizontal="left"/>
    </xf>
    <xf xfId="0" numFmtId="0" borderId="4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1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8.719285714285713" customWidth="1" bestFit="1"/>
    <col min="2" max="2" style="12" width="13.576428571428572" customWidth="1" bestFit="1"/>
    <col min="3" max="3" style="31" width="11.576428571428572" customWidth="1" bestFit="1"/>
    <col min="4" max="4" style="12" width="9.147857142857141" customWidth="1" bestFit="1"/>
    <col min="5" max="5" style="32" width="10.43357142857143" customWidth="1" bestFit="1"/>
    <col min="6" max="6" style="12" width="18.14785714285714" customWidth="1" bestFit="1"/>
    <col min="7" max="7" style="12" width="13.43357142857143" customWidth="1" bestFit="1"/>
    <col min="8" max="8" style="12" width="13.43357142857143" customWidth="1" bestFit="1"/>
    <col min="9" max="9" style="12" width="35.43357142857143" customWidth="1" bestFit="1"/>
  </cols>
  <sheetData>
    <row x14ac:dyDescent="0.25" r="1" customHeight="1" ht="18.75">
      <c r="A1" s="1" t="s">
        <v>0</v>
      </c>
      <c r="B1" s="2" t="s">
        <v>1</v>
      </c>
      <c r="C1" s="4" t="s">
        <v>23</v>
      </c>
      <c r="D1" s="2" t="s">
        <v>2</v>
      </c>
      <c r="E1" s="22" t="s">
        <v>4</v>
      </c>
      <c r="F1" s="4" t="s">
        <v>30</v>
      </c>
      <c r="G1" s="4" t="s">
        <v>31</v>
      </c>
      <c r="H1" s="4" t="s">
        <v>32</v>
      </c>
      <c r="I1" s="2" t="s">
        <v>33</v>
      </c>
    </row>
    <row x14ac:dyDescent="0.25" r="2" customHeight="1" ht="14.5">
      <c r="A2" s="14">
        <v>1</v>
      </c>
      <c r="B2" s="23" t="s">
        <v>10</v>
      </c>
      <c r="C2" s="24" t="s">
        <v>34</v>
      </c>
      <c r="D2" s="17" t="s">
        <v>35</v>
      </c>
      <c r="E2" s="25">
        <v>2</v>
      </c>
      <c r="F2" s="17" t="s">
        <v>18</v>
      </c>
      <c r="G2" s="17" t="s">
        <v>14</v>
      </c>
      <c r="H2" s="17" t="s">
        <v>14</v>
      </c>
      <c r="I2" s="26">
        <f>IF(F2="No","Borrow Allowed","Borrow Denied")</f>
      </c>
    </row>
    <row x14ac:dyDescent="0.25" r="3" customHeight="1" ht="18.75">
      <c r="A3" s="14">
        <v>2</v>
      </c>
      <c r="B3" s="23" t="s">
        <v>10</v>
      </c>
      <c r="C3" s="27"/>
      <c r="D3" s="17" t="s">
        <v>35</v>
      </c>
      <c r="E3" s="25">
        <v>2</v>
      </c>
      <c r="F3" s="17" t="s">
        <v>18</v>
      </c>
      <c r="G3" s="17" t="s">
        <v>14</v>
      </c>
      <c r="H3" s="17" t="s">
        <v>36</v>
      </c>
      <c r="I3" s="26">
        <f>IF(F3="No","Borrow Allowed","Borrow Denied")</f>
      </c>
    </row>
    <row x14ac:dyDescent="0.25" r="4" customHeight="1" ht="18.75">
      <c r="A4" s="14">
        <v>3</v>
      </c>
      <c r="B4" s="23" t="s">
        <v>10</v>
      </c>
      <c r="C4" s="27"/>
      <c r="D4" s="17" t="s">
        <v>35</v>
      </c>
      <c r="E4" s="25">
        <v>2</v>
      </c>
      <c r="F4" s="17" t="s">
        <v>18</v>
      </c>
      <c r="G4" s="17" t="s">
        <v>36</v>
      </c>
      <c r="H4" s="17" t="s">
        <v>14</v>
      </c>
      <c r="I4" s="26">
        <f>IF(F4="No","Borrow Allowed","Borrow Denied")</f>
      </c>
    </row>
    <row x14ac:dyDescent="0.25" r="5" customHeight="1" ht="18.75">
      <c r="A5" s="14">
        <v>4</v>
      </c>
      <c r="B5" s="23" t="s">
        <v>10</v>
      </c>
      <c r="C5" s="27"/>
      <c r="D5" s="17" t="s">
        <v>35</v>
      </c>
      <c r="E5" s="25">
        <v>2</v>
      </c>
      <c r="F5" s="17" t="s">
        <v>18</v>
      </c>
      <c r="G5" s="17" t="s">
        <v>36</v>
      </c>
      <c r="H5" s="17" t="s">
        <v>36</v>
      </c>
      <c r="I5" s="26">
        <f>IF(F5="No","Borrow Allowed","Borrow Denied")</f>
      </c>
    </row>
    <row x14ac:dyDescent="0.25" r="6" customHeight="1" ht="18.75">
      <c r="A6" s="14">
        <v>5</v>
      </c>
      <c r="B6" s="23" t="s">
        <v>10</v>
      </c>
      <c r="C6" s="27"/>
      <c r="D6" s="17" t="s">
        <v>35</v>
      </c>
      <c r="E6" s="25">
        <v>2</v>
      </c>
      <c r="F6" s="17" t="s">
        <v>12</v>
      </c>
      <c r="G6" s="17" t="s">
        <v>14</v>
      </c>
      <c r="H6" s="17" t="s">
        <v>14</v>
      </c>
      <c r="I6" s="26">
        <f>IF(F6="No","Borrow Allowed","Borrow Denied")</f>
      </c>
    </row>
    <row x14ac:dyDescent="0.25" r="7" customHeight="1" ht="18.75">
      <c r="A7" s="14">
        <v>6</v>
      </c>
      <c r="B7" s="23" t="s">
        <v>10</v>
      </c>
      <c r="C7" s="27"/>
      <c r="D7" s="17" t="s">
        <v>35</v>
      </c>
      <c r="E7" s="25">
        <v>2</v>
      </c>
      <c r="F7" s="17" t="s">
        <v>12</v>
      </c>
      <c r="G7" s="17" t="s">
        <v>14</v>
      </c>
      <c r="H7" s="17" t="s">
        <v>36</v>
      </c>
      <c r="I7" s="26">
        <f>IF(F7="No","Borrow Allowed","Borrow Denied")</f>
      </c>
    </row>
    <row x14ac:dyDescent="0.25" r="8" customHeight="1" ht="18.75">
      <c r="A8" s="14">
        <v>7</v>
      </c>
      <c r="B8" s="23" t="s">
        <v>10</v>
      </c>
      <c r="C8" s="27"/>
      <c r="D8" s="17" t="s">
        <v>35</v>
      </c>
      <c r="E8" s="25">
        <v>2</v>
      </c>
      <c r="F8" s="17" t="s">
        <v>12</v>
      </c>
      <c r="G8" s="17" t="s">
        <v>36</v>
      </c>
      <c r="H8" s="17" t="s">
        <v>14</v>
      </c>
      <c r="I8" s="26">
        <f>IF(F8="No","Borrow Allowed","Borrow Denied")</f>
      </c>
    </row>
    <row x14ac:dyDescent="0.25" r="9" customHeight="1" ht="18.75">
      <c r="A9" s="14">
        <v>8</v>
      </c>
      <c r="B9" s="23" t="s">
        <v>10</v>
      </c>
      <c r="C9" s="27"/>
      <c r="D9" s="17" t="s">
        <v>35</v>
      </c>
      <c r="E9" s="25">
        <v>2</v>
      </c>
      <c r="F9" s="17" t="s">
        <v>12</v>
      </c>
      <c r="G9" s="17" t="s">
        <v>36</v>
      </c>
      <c r="H9" s="17" t="s">
        <v>36</v>
      </c>
      <c r="I9" s="26">
        <f>IF(F9="No","Borrow Allowed","Borrow Denied")</f>
      </c>
    </row>
    <row x14ac:dyDescent="0.25" r="10" customHeight="1" ht="18.75">
      <c r="A10" s="14">
        <v>9</v>
      </c>
      <c r="B10" s="23" t="s">
        <v>10</v>
      </c>
      <c r="C10" s="27"/>
      <c r="D10" s="17" t="s">
        <v>35</v>
      </c>
      <c r="E10" s="25">
        <v>7</v>
      </c>
      <c r="F10" s="17" t="s">
        <v>18</v>
      </c>
      <c r="G10" s="17" t="s">
        <v>14</v>
      </c>
      <c r="H10" s="17" t="s">
        <v>14</v>
      </c>
      <c r="I10" s="26">
        <f>IF(F10="No","Borrow Allowed","Borrow Denied")</f>
      </c>
    </row>
    <row x14ac:dyDescent="0.25" r="11" customHeight="1" ht="18.75">
      <c r="A11" s="14">
        <v>10</v>
      </c>
      <c r="B11" s="23" t="s">
        <v>10</v>
      </c>
      <c r="C11" s="27"/>
      <c r="D11" s="17" t="s">
        <v>35</v>
      </c>
      <c r="E11" s="25">
        <v>7</v>
      </c>
      <c r="F11" s="17" t="s">
        <v>18</v>
      </c>
      <c r="G11" s="17" t="s">
        <v>14</v>
      </c>
      <c r="H11" s="17" t="s">
        <v>36</v>
      </c>
      <c r="I11" s="26">
        <f>IF(F11="No","Borrow Allowed","Borrow Denied")</f>
      </c>
    </row>
    <row x14ac:dyDescent="0.25" r="12" customHeight="1" ht="18.75">
      <c r="A12" s="14">
        <v>11</v>
      </c>
      <c r="B12" s="23" t="s">
        <v>10</v>
      </c>
      <c r="C12" s="27"/>
      <c r="D12" s="17" t="s">
        <v>35</v>
      </c>
      <c r="E12" s="25">
        <v>7</v>
      </c>
      <c r="F12" s="17" t="s">
        <v>18</v>
      </c>
      <c r="G12" s="17" t="s">
        <v>36</v>
      </c>
      <c r="H12" s="17" t="s">
        <v>14</v>
      </c>
      <c r="I12" s="26">
        <f>IF(F12="No","Borrow Allowed","Borrow Denied")</f>
      </c>
    </row>
    <row x14ac:dyDescent="0.25" r="13" customHeight="1" ht="18.75">
      <c r="A13" s="14">
        <v>12</v>
      </c>
      <c r="B13" s="23" t="s">
        <v>10</v>
      </c>
      <c r="C13" s="27"/>
      <c r="D13" s="17" t="s">
        <v>35</v>
      </c>
      <c r="E13" s="25">
        <v>7</v>
      </c>
      <c r="F13" s="17" t="s">
        <v>18</v>
      </c>
      <c r="G13" s="17" t="s">
        <v>36</v>
      </c>
      <c r="H13" s="17" t="s">
        <v>36</v>
      </c>
      <c r="I13" s="26">
        <f>IF(F13="No","Borrow Allowed","Borrow Denied")</f>
      </c>
    </row>
    <row x14ac:dyDescent="0.25" r="14" customHeight="1" ht="18.75">
      <c r="A14" s="14">
        <v>13</v>
      </c>
      <c r="B14" s="23" t="s">
        <v>10</v>
      </c>
      <c r="C14" s="27"/>
      <c r="D14" s="17" t="s">
        <v>35</v>
      </c>
      <c r="E14" s="25">
        <v>7</v>
      </c>
      <c r="F14" s="17" t="s">
        <v>12</v>
      </c>
      <c r="G14" s="17" t="s">
        <v>14</v>
      </c>
      <c r="H14" s="17" t="s">
        <v>14</v>
      </c>
      <c r="I14" s="26">
        <f>IF(F14="No","Borrow Allowed","Borrow Denied")</f>
      </c>
    </row>
    <row x14ac:dyDescent="0.25" r="15" customHeight="1" ht="18.75">
      <c r="A15" s="14">
        <v>14</v>
      </c>
      <c r="B15" s="23" t="s">
        <v>10</v>
      </c>
      <c r="C15" s="27"/>
      <c r="D15" s="17" t="s">
        <v>35</v>
      </c>
      <c r="E15" s="25">
        <v>7</v>
      </c>
      <c r="F15" s="17" t="s">
        <v>12</v>
      </c>
      <c r="G15" s="17" t="s">
        <v>14</v>
      </c>
      <c r="H15" s="17" t="s">
        <v>36</v>
      </c>
      <c r="I15" s="26">
        <f>IF(F15="No","Borrow Allowed","Borrow Denied")</f>
      </c>
    </row>
    <row x14ac:dyDescent="0.25" r="16" customHeight="1" ht="18.75">
      <c r="A16" s="14">
        <v>15</v>
      </c>
      <c r="B16" s="23" t="s">
        <v>10</v>
      </c>
      <c r="C16" s="27"/>
      <c r="D16" s="17" t="s">
        <v>35</v>
      </c>
      <c r="E16" s="25">
        <v>7</v>
      </c>
      <c r="F16" s="17" t="s">
        <v>12</v>
      </c>
      <c r="G16" s="17" t="s">
        <v>36</v>
      </c>
      <c r="H16" s="17" t="s">
        <v>14</v>
      </c>
      <c r="I16" s="26">
        <f>IF(F16="No","Borrow Allowed","Borrow Denied")</f>
      </c>
    </row>
    <row x14ac:dyDescent="0.25" r="17" customHeight="1" ht="18.75">
      <c r="A17" s="14">
        <v>16</v>
      </c>
      <c r="B17" s="23" t="s">
        <v>10</v>
      </c>
      <c r="C17" s="27"/>
      <c r="D17" s="17" t="s">
        <v>35</v>
      </c>
      <c r="E17" s="25">
        <v>7</v>
      </c>
      <c r="F17" s="17" t="s">
        <v>12</v>
      </c>
      <c r="G17" s="17" t="s">
        <v>36</v>
      </c>
      <c r="H17" s="17" t="s">
        <v>36</v>
      </c>
      <c r="I17" s="26">
        <f>IF(F17="No","Borrow Allowed","Borrow Denied")</f>
      </c>
    </row>
    <row x14ac:dyDescent="0.25" r="18" customHeight="1" ht="18.75">
      <c r="A18" s="14">
        <v>17</v>
      </c>
      <c r="B18" s="23" t="s">
        <v>10</v>
      </c>
      <c r="C18" s="27"/>
      <c r="D18" s="17" t="s">
        <v>35</v>
      </c>
      <c r="E18" s="25">
        <v>14</v>
      </c>
      <c r="F18" s="17" t="s">
        <v>18</v>
      </c>
      <c r="G18" s="17" t="s">
        <v>14</v>
      </c>
      <c r="H18" s="17" t="s">
        <v>14</v>
      </c>
      <c r="I18" s="26">
        <f>IF(F18="No","Borrow Allowed","Borrow Denied")</f>
      </c>
    </row>
    <row x14ac:dyDescent="0.25" r="19" customHeight="1" ht="18.75">
      <c r="A19" s="14">
        <v>18</v>
      </c>
      <c r="B19" s="23" t="s">
        <v>10</v>
      </c>
      <c r="C19" s="27"/>
      <c r="D19" s="17" t="s">
        <v>35</v>
      </c>
      <c r="E19" s="25">
        <v>14</v>
      </c>
      <c r="F19" s="17" t="s">
        <v>18</v>
      </c>
      <c r="G19" s="17" t="s">
        <v>14</v>
      </c>
      <c r="H19" s="17" t="s">
        <v>36</v>
      </c>
      <c r="I19" s="26">
        <f>IF(F19="No","Borrow Allowed","Borrow Denied")</f>
      </c>
    </row>
    <row x14ac:dyDescent="0.25" r="20" customHeight="1" ht="18.75">
      <c r="A20" s="14">
        <v>19</v>
      </c>
      <c r="B20" s="23" t="s">
        <v>10</v>
      </c>
      <c r="C20" s="27"/>
      <c r="D20" s="17" t="s">
        <v>35</v>
      </c>
      <c r="E20" s="25">
        <v>14</v>
      </c>
      <c r="F20" s="17" t="s">
        <v>18</v>
      </c>
      <c r="G20" s="17" t="s">
        <v>36</v>
      </c>
      <c r="H20" s="17" t="s">
        <v>14</v>
      </c>
      <c r="I20" s="26">
        <f>IF(F20="No","Borrow Allowed","Borrow Denied")</f>
      </c>
    </row>
    <row x14ac:dyDescent="0.25" r="21" customHeight="1" ht="18.75">
      <c r="A21" s="14">
        <v>20</v>
      </c>
      <c r="B21" s="23" t="s">
        <v>10</v>
      </c>
      <c r="C21" s="27"/>
      <c r="D21" s="17" t="s">
        <v>35</v>
      </c>
      <c r="E21" s="25">
        <v>14</v>
      </c>
      <c r="F21" s="17" t="s">
        <v>18</v>
      </c>
      <c r="G21" s="17" t="s">
        <v>36</v>
      </c>
      <c r="H21" s="17" t="s">
        <v>36</v>
      </c>
      <c r="I21" s="26">
        <f>IF(F21="No","Borrow Allowed","Borrow Denied")</f>
      </c>
    </row>
    <row x14ac:dyDescent="0.25" r="22" customHeight="1" ht="18.75">
      <c r="A22" s="14">
        <v>21</v>
      </c>
      <c r="B22" s="23" t="s">
        <v>10</v>
      </c>
      <c r="C22" s="27"/>
      <c r="D22" s="17" t="s">
        <v>35</v>
      </c>
      <c r="E22" s="25">
        <v>14</v>
      </c>
      <c r="F22" s="17" t="s">
        <v>12</v>
      </c>
      <c r="G22" s="17" t="s">
        <v>14</v>
      </c>
      <c r="H22" s="17" t="s">
        <v>14</v>
      </c>
      <c r="I22" s="26">
        <f>IF(F22="No","Borrow Allowed","Borrow Denied")</f>
      </c>
    </row>
    <row x14ac:dyDescent="0.25" r="23" customHeight="1" ht="18.75">
      <c r="A23" s="14">
        <v>22</v>
      </c>
      <c r="B23" s="23" t="s">
        <v>10</v>
      </c>
      <c r="C23" s="27"/>
      <c r="D23" s="17" t="s">
        <v>35</v>
      </c>
      <c r="E23" s="25">
        <v>14</v>
      </c>
      <c r="F23" s="17" t="s">
        <v>12</v>
      </c>
      <c r="G23" s="17" t="s">
        <v>14</v>
      </c>
      <c r="H23" s="17" t="s">
        <v>36</v>
      </c>
      <c r="I23" s="26">
        <f>IF(F23="No","Borrow Allowed","Borrow Denied")</f>
      </c>
    </row>
    <row x14ac:dyDescent="0.25" r="24" customHeight="1" ht="18.75">
      <c r="A24" s="14">
        <v>23</v>
      </c>
      <c r="B24" s="23" t="s">
        <v>10</v>
      </c>
      <c r="C24" s="27"/>
      <c r="D24" s="17" t="s">
        <v>35</v>
      </c>
      <c r="E24" s="25">
        <v>14</v>
      </c>
      <c r="F24" s="17" t="s">
        <v>12</v>
      </c>
      <c r="G24" s="17" t="s">
        <v>36</v>
      </c>
      <c r="H24" s="17" t="s">
        <v>14</v>
      </c>
      <c r="I24" s="26">
        <f>IF(F24="No","Borrow Allowed","Borrow Denied")</f>
      </c>
    </row>
    <row x14ac:dyDescent="0.25" r="25" customHeight="1" ht="18.75">
      <c r="A25" s="5">
        <v>24</v>
      </c>
      <c r="B25" s="6" t="s">
        <v>10</v>
      </c>
      <c r="C25" s="27"/>
      <c r="D25" s="6" t="s">
        <v>35</v>
      </c>
      <c r="E25" s="28">
        <v>14</v>
      </c>
      <c r="F25" s="6" t="s">
        <v>12</v>
      </c>
      <c r="G25" s="6" t="s">
        <v>36</v>
      </c>
      <c r="H25" s="6" t="s">
        <v>36</v>
      </c>
      <c r="I25" s="26">
        <f>IF(F25="No","Borrow Allowed","Borrow Denied")</f>
      </c>
    </row>
    <row x14ac:dyDescent="0.25" r="26" customHeight="1" ht="18.75">
      <c r="A26" s="14">
        <v>25</v>
      </c>
      <c r="B26" s="23" t="s">
        <v>10</v>
      </c>
      <c r="C26" s="27"/>
      <c r="D26" s="17" t="s">
        <v>37</v>
      </c>
      <c r="E26" s="25">
        <v>2</v>
      </c>
      <c r="F26" s="17" t="s">
        <v>18</v>
      </c>
      <c r="G26" s="17" t="s">
        <v>14</v>
      </c>
      <c r="H26" s="17" t="s">
        <v>14</v>
      </c>
      <c r="I26" s="26">
        <f>IF(F26="No","Borrow Allowed","Borrow Denied")</f>
      </c>
    </row>
    <row x14ac:dyDescent="0.25" r="27" customHeight="1" ht="18.75">
      <c r="A27" s="14">
        <v>26</v>
      </c>
      <c r="B27" s="23" t="s">
        <v>10</v>
      </c>
      <c r="C27" s="27"/>
      <c r="D27" s="17" t="s">
        <v>37</v>
      </c>
      <c r="E27" s="25">
        <v>2</v>
      </c>
      <c r="F27" s="17" t="s">
        <v>18</v>
      </c>
      <c r="G27" s="17" t="s">
        <v>36</v>
      </c>
      <c r="H27" s="17" t="s">
        <v>14</v>
      </c>
      <c r="I27" s="26">
        <f>IF(F27="No","Borrow Allowed","Borrow Denied")</f>
      </c>
    </row>
    <row x14ac:dyDescent="0.25" r="28" customHeight="1" ht="18.75">
      <c r="A28" s="14">
        <v>27</v>
      </c>
      <c r="B28" s="23" t="s">
        <v>10</v>
      </c>
      <c r="C28" s="27"/>
      <c r="D28" s="17" t="s">
        <v>37</v>
      </c>
      <c r="E28" s="25">
        <v>2</v>
      </c>
      <c r="F28" s="17" t="s">
        <v>18</v>
      </c>
      <c r="G28" s="17" t="s">
        <v>14</v>
      </c>
      <c r="H28" s="17" t="s">
        <v>36</v>
      </c>
      <c r="I28" s="26">
        <f>IF(F28="No","Borrow Allowed","Borrow Denied")</f>
      </c>
    </row>
    <row x14ac:dyDescent="0.25" r="29" customHeight="1" ht="18.75">
      <c r="A29" s="14">
        <v>28</v>
      </c>
      <c r="B29" s="23" t="s">
        <v>10</v>
      </c>
      <c r="C29" s="27"/>
      <c r="D29" s="17" t="s">
        <v>37</v>
      </c>
      <c r="E29" s="25">
        <v>2</v>
      </c>
      <c r="F29" s="17" t="s">
        <v>18</v>
      </c>
      <c r="G29" s="17" t="s">
        <v>36</v>
      </c>
      <c r="H29" s="17" t="s">
        <v>36</v>
      </c>
      <c r="I29" s="26">
        <f>IF(F29="No","Borrow Allowed","Borrow Denied")</f>
      </c>
    </row>
    <row x14ac:dyDescent="0.25" r="30" customHeight="1" ht="18.75">
      <c r="A30" s="14">
        <v>29</v>
      </c>
      <c r="B30" s="23" t="s">
        <v>10</v>
      </c>
      <c r="C30" s="27"/>
      <c r="D30" s="17" t="s">
        <v>37</v>
      </c>
      <c r="E30" s="25">
        <v>2</v>
      </c>
      <c r="F30" s="17" t="s">
        <v>12</v>
      </c>
      <c r="G30" s="17" t="s">
        <v>14</v>
      </c>
      <c r="H30" s="17" t="s">
        <v>14</v>
      </c>
      <c r="I30" s="26">
        <f>IF(F30="No","Borrow Allowed","Borrow Denied")</f>
      </c>
    </row>
    <row x14ac:dyDescent="0.25" r="31" customHeight="1" ht="18.75">
      <c r="A31" s="14">
        <v>30</v>
      </c>
      <c r="B31" s="23" t="s">
        <v>10</v>
      </c>
      <c r="C31" s="27"/>
      <c r="D31" s="17" t="s">
        <v>37</v>
      </c>
      <c r="E31" s="25">
        <v>2</v>
      </c>
      <c r="F31" s="17" t="s">
        <v>12</v>
      </c>
      <c r="G31" s="17" t="s">
        <v>36</v>
      </c>
      <c r="H31" s="17" t="s">
        <v>14</v>
      </c>
      <c r="I31" s="26">
        <f>IF(F31="No","Borrow Allowed","Borrow Denied")</f>
      </c>
    </row>
    <row x14ac:dyDescent="0.25" r="32" customHeight="1" ht="18.75">
      <c r="A32" s="14">
        <v>31</v>
      </c>
      <c r="B32" s="23" t="s">
        <v>10</v>
      </c>
      <c r="C32" s="27"/>
      <c r="D32" s="17" t="s">
        <v>37</v>
      </c>
      <c r="E32" s="25">
        <v>2</v>
      </c>
      <c r="F32" s="17" t="s">
        <v>12</v>
      </c>
      <c r="G32" s="17" t="s">
        <v>14</v>
      </c>
      <c r="H32" s="17" t="s">
        <v>36</v>
      </c>
      <c r="I32" s="26">
        <f>IF(F32="No","Borrow Allowed","Borrow Denied")</f>
      </c>
    </row>
    <row x14ac:dyDescent="0.25" r="33" customHeight="1" ht="18.75">
      <c r="A33" s="14">
        <v>32</v>
      </c>
      <c r="B33" s="23" t="s">
        <v>10</v>
      </c>
      <c r="C33" s="27"/>
      <c r="D33" s="17" t="s">
        <v>37</v>
      </c>
      <c r="E33" s="25">
        <v>2</v>
      </c>
      <c r="F33" s="17" t="s">
        <v>12</v>
      </c>
      <c r="G33" s="17" t="s">
        <v>36</v>
      </c>
      <c r="H33" s="17" t="s">
        <v>36</v>
      </c>
      <c r="I33" s="26">
        <f>IF(F33="No","Borrow Allowed","Borrow Denied")</f>
      </c>
    </row>
    <row x14ac:dyDescent="0.25" r="34" customHeight="1" ht="18.75">
      <c r="A34" s="14">
        <v>33</v>
      </c>
      <c r="B34" s="23" t="s">
        <v>10</v>
      </c>
      <c r="C34" s="27"/>
      <c r="D34" s="17" t="s">
        <v>37</v>
      </c>
      <c r="E34" s="25">
        <v>7</v>
      </c>
      <c r="F34" s="17" t="s">
        <v>18</v>
      </c>
      <c r="G34" s="17" t="s">
        <v>14</v>
      </c>
      <c r="H34" s="17" t="s">
        <v>14</v>
      </c>
      <c r="I34" s="26">
        <f>IF(F34="No","Borrow Allowed","Borrow Denied")</f>
      </c>
    </row>
    <row x14ac:dyDescent="0.25" r="35" customHeight="1" ht="18.75">
      <c r="A35" s="14">
        <v>34</v>
      </c>
      <c r="B35" s="23" t="s">
        <v>10</v>
      </c>
      <c r="C35" s="27"/>
      <c r="D35" s="17" t="s">
        <v>37</v>
      </c>
      <c r="E35" s="25">
        <v>7</v>
      </c>
      <c r="F35" s="17" t="s">
        <v>18</v>
      </c>
      <c r="G35" s="17" t="s">
        <v>36</v>
      </c>
      <c r="H35" s="17" t="s">
        <v>14</v>
      </c>
      <c r="I35" s="26">
        <f>IF(F35="No","Borrow Allowed","Borrow Denied")</f>
      </c>
    </row>
    <row x14ac:dyDescent="0.25" r="36" customHeight="1" ht="18.75">
      <c r="A36" s="14">
        <v>35</v>
      </c>
      <c r="B36" s="23" t="s">
        <v>10</v>
      </c>
      <c r="C36" s="27"/>
      <c r="D36" s="17" t="s">
        <v>37</v>
      </c>
      <c r="E36" s="25">
        <v>7</v>
      </c>
      <c r="F36" s="17" t="s">
        <v>18</v>
      </c>
      <c r="G36" s="17" t="s">
        <v>14</v>
      </c>
      <c r="H36" s="17" t="s">
        <v>36</v>
      </c>
      <c r="I36" s="26">
        <f>IF(F36="No","Borrow Allowed","Borrow Denied")</f>
      </c>
    </row>
    <row x14ac:dyDescent="0.25" r="37" customHeight="1" ht="18.75">
      <c r="A37" s="14">
        <v>36</v>
      </c>
      <c r="B37" s="23" t="s">
        <v>10</v>
      </c>
      <c r="C37" s="27"/>
      <c r="D37" s="17" t="s">
        <v>37</v>
      </c>
      <c r="E37" s="25">
        <v>7</v>
      </c>
      <c r="F37" s="17" t="s">
        <v>18</v>
      </c>
      <c r="G37" s="17" t="s">
        <v>36</v>
      </c>
      <c r="H37" s="17" t="s">
        <v>36</v>
      </c>
      <c r="I37" s="26">
        <f>IF(F37="No","Borrow Allowed","Borrow Denied")</f>
      </c>
    </row>
    <row x14ac:dyDescent="0.25" r="38" customHeight="1" ht="18.75">
      <c r="A38" s="14">
        <v>37</v>
      </c>
      <c r="B38" s="23" t="s">
        <v>10</v>
      </c>
      <c r="C38" s="27"/>
      <c r="D38" s="17" t="s">
        <v>37</v>
      </c>
      <c r="E38" s="25">
        <v>7</v>
      </c>
      <c r="F38" s="17" t="s">
        <v>12</v>
      </c>
      <c r="G38" s="17" t="s">
        <v>14</v>
      </c>
      <c r="H38" s="17" t="s">
        <v>14</v>
      </c>
      <c r="I38" s="26">
        <f>IF(F38="No","Borrow Allowed","Borrow Denied")</f>
      </c>
    </row>
    <row x14ac:dyDescent="0.25" r="39" customHeight="1" ht="18.75">
      <c r="A39" s="14">
        <v>38</v>
      </c>
      <c r="B39" s="23" t="s">
        <v>10</v>
      </c>
      <c r="C39" s="27"/>
      <c r="D39" s="17" t="s">
        <v>37</v>
      </c>
      <c r="E39" s="25">
        <v>7</v>
      </c>
      <c r="F39" s="17" t="s">
        <v>12</v>
      </c>
      <c r="G39" s="17" t="s">
        <v>36</v>
      </c>
      <c r="H39" s="17" t="s">
        <v>14</v>
      </c>
      <c r="I39" s="26">
        <f>IF(F39="No","Borrow Allowed","Borrow Denied")</f>
      </c>
    </row>
    <row x14ac:dyDescent="0.25" r="40" customHeight="1" ht="18.75">
      <c r="A40" s="14">
        <v>39</v>
      </c>
      <c r="B40" s="23" t="s">
        <v>10</v>
      </c>
      <c r="C40" s="27"/>
      <c r="D40" s="17" t="s">
        <v>37</v>
      </c>
      <c r="E40" s="25">
        <v>7</v>
      </c>
      <c r="F40" s="17" t="s">
        <v>12</v>
      </c>
      <c r="G40" s="17" t="s">
        <v>14</v>
      </c>
      <c r="H40" s="17" t="s">
        <v>36</v>
      </c>
      <c r="I40" s="26">
        <f>IF(F40="No","Borrow Allowed","Borrow Denied")</f>
      </c>
    </row>
    <row x14ac:dyDescent="0.25" r="41" customHeight="1" ht="18.75">
      <c r="A41" s="14">
        <v>40</v>
      </c>
      <c r="B41" s="23" t="s">
        <v>10</v>
      </c>
      <c r="C41" s="27"/>
      <c r="D41" s="17" t="s">
        <v>37</v>
      </c>
      <c r="E41" s="25">
        <v>7</v>
      </c>
      <c r="F41" s="17" t="s">
        <v>12</v>
      </c>
      <c r="G41" s="17" t="s">
        <v>36</v>
      </c>
      <c r="H41" s="17" t="s">
        <v>36</v>
      </c>
      <c r="I41" s="26">
        <f>IF(F41="No","Borrow Allowed","Borrow Denied")</f>
      </c>
    </row>
    <row x14ac:dyDescent="0.25" r="42" customHeight="1" ht="18.75">
      <c r="A42" s="14">
        <v>41</v>
      </c>
      <c r="B42" s="23" t="s">
        <v>10</v>
      </c>
      <c r="C42" s="27"/>
      <c r="D42" s="17" t="s">
        <v>37</v>
      </c>
      <c r="E42" s="25">
        <v>14</v>
      </c>
      <c r="F42" s="17" t="s">
        <v>18</v>
      </c>
      <c r="G42" s="17" t="s">
        <v>14</v>
      </c>
      <c r="H42" s="17" t="s">
        <v>14</v>
      </c>
      <c r="I42" s="26">
        <f>IF(F42="No","Borrow Allowed","Borrow Denied")</f>
      </c>
    </row>
    <row x14ac:dyDescent="0.25" r="43" customHeight="1" ht="18.75">
      <c r="A43" s="14">
        <v>42</v>
      </c>
      <c r="B43" s="23" t="s">
        <v>10</v>
      </c>
      <c r="C43" s="27"/>
      <c r="D43" s="17" t="s">
        <v>37</v>
      </c>
      <c r="E43" s="25">
        <v>14</v>
      </c>
      <c r="F43" s="17" t="s">
        <v>18</v>
      </c>
      <c r="G43" s="17" t="s">
        <v>36</v>
      </c>
      <c r="H43" s="17" t="s">
        <v>14</v>
      </c>
      <c r="I43" s="26">
        <f>IF(F43="No","Borrow Allowed","Borrow Denied")</f>
      </c>
    </row>
    <row x14ac:dyDescent="0.25" r="44" customHeight="1" ht="18.75">
      <c r="A44" s="14">
        <v>43</v>
      </c>
      <c r="B44" s="23" t="s">
        <v>10</v>
      </c>
      <c r="C44" s="27"/>
      <c r="D44" s="17" t="s">
        <v>37</v>
      </c>
      <c r="E44" s="25">
        <v>14</v>
      </c>
      <c r="F44" s="17" t="s">
        <v>18</v>
      </c>
      <c r="G44" s="17" t="s">
        <v>14</v>
      </c>
      <c r="H44" s="17" t="s">
        <v>36</v>
      </c>
      <c r="I44" s="26">
        <f>IF(F44="No","Borrow Allowed","Borrow Denied")</f>
      </c>
    </row>
    <row x14ac:dyDescent="0.25" r="45" customHeight="1" ht="18.75">
      <c r="A45" s="14">
        <v>44</v>
      </c>
      <c r="B45" s="23" t="s">
        <v>10</v>
      </c>
      <c r="C45" s="27"/>
      <c r="D45" s="17" t="s">
        <v>37</v>
      </c>
      <c r="E45" s="25">
        <v>14</v>
      </c>
      <c r="F45" s="17" t="s">
        <v>18</v>
      </c>
      <c r="G45" s="17" t="s">
        <v>36</v>
      </c>
      <c r="H45" s="17" t="s">
        <v>36</v>
      </c>
      <c r="I45" s="26">
        <f>IF(F45="No","Borrow Allowed","Borrow Denied")</f>
      </c>
    </row>
    <row x14ac:dyDescent="0.25" r="46" customHeight="1" ht="18.75">
      <c r="A46" s="14">
        <v>45</v>
      </c>
      <c r="B46" s="23" t="s">
        <v>10</v>
      </c>
      <c r="C46" s="27"/>
      <c r="D46" s="17" t="s">
        <v>37</v>
      </c>
      <c r="E46" s="25">
        <v>14</v>
      </c>
      <c r="F46" s="17" t="s">
        <v>12</v>
      </c>
      <c r="G46" s="17" t="s">
        <v>14</v>
      </c>
      <c r="H46" s="17" t="s">
        <v>14</v>
      </c>
      <c r="I46" s="26">
        <f>IF(F46="No","Borrow Allowed","Borrow Denied")</f>
      </c>
    </row>
    <row x14ac:dyDescent="0.25" r="47" customHeight="1" ht="18.75">
      <c r="A47" s="14">
        <v>46</v>
      </c>
      <c r="B47" s="23" t="s">
        <v>10</v>
      </c>
      <c r="C47" s="27"/>
      <c r="D47" s="17" t="s">
        <v>37</v>
      </c>
      <c r="E47" s="25">
        <v>14</v>
      </c>
      <c r="F47" s="17" t="s">
        <v>12</v>
      </c>
      <c r="G47" s="17" t="s">
        <v>36</v>
      </c>
      <c r="H47" s="17" t="s">
        <v>14</v>
      </c>
      <c r="I47" s="26">
        <f>IF(F47="No","Borrow Allowed","Borrow Denied")</f>
      </c>
    </row>
    <row x14ac:dyDescent="0.25" r="48" customHeight="1" ht="18.75">
      <c r="A48" s="14">
        <v>47</v>
      </c>
      <c r="B48" s="23" t="s">
        <v>10</v>
      </c>
      <c r="C48" s="27"/>
      <c r="D48" s="17" t="s">
        <v>37</v>
      </c>
      <c r="E48" s="25">
        <v>14</v>
      </c>
      <c r="F48" s="17" t="s">
        <v>12</v>
      </c>
      <c r="G48" s="17" t="s">
        <v>14</v>
      </c>
      <c r="H48" s="17" t="s">
        <v>36</v>
      </c>
      <c r="I48" s="26">
        <f>IF(F48="No","Borrow Allowed","Borrow Denied")</f>
      </c>
    </row>
    <row x14ac:dyDescent="0.25" r="49" customHeight="1" ht="18.75">
      <c r="A49" s="5">
        <v>48</v>
      </c>
      <c r="B49" s="6" t="s">
        <v>10</v>
      </c>
      <c r="C49" s="27"/>
      <c r="D49" s="6" t="s">
        <v>37</v>
      </c>
      <c r="E49" s="28">
        <v>14</v>
      </c>
      <c r="F49" s="6" t="s">
        <v>12</v>
      </c>
      <c r="G49" s="6" t="s">
        <v>36</v>
      </c>
      <c r="H49" s="6" t="s">
        <v>36</v>
      </c>
      <c r="I49" s="26">
        <f>IF(F49="No","Borrow Allowed","Borrow Denied")</f>
      </c>
    </row>
    <row x14ac:dyDescent="0.25" r="50" customHeight="1" ht="18.75">
      <c r="A50" s="14">
        <v>49</v>
      </c>
      <c r="B50" s="23" t="s">
        <v>10</v>
      </c>
      <c r="C50" s="27"/>
      <c r="D50" s="17" t="s">
        <v>29</v>
      </c>
      <c r="E50" s="25">
        <v>2</v>
      </c>
      <c r="F50" s="17" t="s">
        <v>18</v>
      </c>
      <c r="G50" s="17" t="s">
        <v>14</v>
      </c>
      <c r="H50" s="17" t="s">
        <v>14</v>
      </c>
      <c r="I50" s="26">
        <f>IF(F50="No","Borrow Allowed","Borrow Denied")</f>
      </c>
    </row>
    <row x14ac:dyDescent="0.25" r="51" customHeight="1" ht="18.75">
      <c r="A51" s="14">
        <v>50</v>
      </c>
      <c r="B51" s="23" t="s">
        <v>10</v>
      </c>
      <c r="C51" s="27"/>
      <c r="D51" s="17" t="s">
        <v>29</v>
      </c>
      <c r="E51" s="25">
        <v>2</v>
      </c>
      <c r="F51" s="17" t="s">
        <v>18</v>
      </c>
      <c r="G51" s="17" t="s">
        <v>14</v>
      </c>
      <c r="H51" s="17" t="s">
        <v>36</v>
      </c>
      <c r="I51" s="26">
        <f>IF(F51="No","Borrow Allowed","Borrow Denied")</f>
      </c>
    </row>
    <row x14ac:dyDescent="0.25" r="52" customHeight="1" ht="18.75">
      <c r="A52" s="14">
        <v>51</v>
      </c>
      <c r="B52" s="23" t="s">
        <v>10</v>
      </c>
      <c r="C52" s="27"/>
      <c r="D52" s="17" t="s">
        <v>29</v>
      </c>
      <c r="E52" s="25">
        <v>2</v>
      </c>
      <c r="F52" s="17" t="s">
        <v>18</v>
      </c>
      <c r="G52" s="17" t="s">
        <v>36</v>
      </c>
      <c r="H52" s="17" t="s">
        <v>14</v>
      </c>
      <c r="I52" s="26">
        <f>IF(F52="No","Borrow Allowed","Borrow Denied")</f>
      </c>
    </row>
    <row x14ac:dyDescent="0.25" r="53" customHeight="1" ht="18.75">
      <c r="A53" s="14">
        <v>52</v>
      </c>
      <c r="B53" s="23" t="s">
        <v>10</v>
      </c>
      <c r="C53" s="27"/>
      <c r="D53" s="17" t="s">
        <v>29</v>
      </c>
      <c r="E53" s="25">
        <v>2</v>
      </c>
      <c r="F53" s="17" t="s">
        <v>18</v>
      </c>
      <c r="G53" s="17" t="s">
        <v>36</v>
      </c>
      <c r="H53" s="17" t="s">
        <v>36</v>
      </c>
      <c r="I53" s="26">
        <f>IF(F53="No","Borrow Allowed","Borrow Denied")</f>
      </c>
    </row>
    <row x14ac:dyDescent="0.25" r="54" customHeight="1" ht="18.75">
      <c r="A54" s="14">
        <v>53</v>
      </c>
      <c r="B54" s="23" t="s">
        <v>10</v>
      </c>
      <c r="C54" s="27"/>
      <c r="D54" s="17" t="s">
        <v>29</v>
      </c>
      <c r="E54" s="25">
        <v>2</v>
      </c>
      <c r="F54" s="17" t="s">
        <v>12</v>
      </c>
      <c r="G54" s="17" t="s">
        <v>14</v>
      </c>
      <c r="H54" s="17" t="s">
        <v>14</v>
      </c>
      <c r="I54" s="26">
        <f>IF(F54="No","Borrow Allowed","Borrow Denied")</f>
      </c>
    </row>
    <row x14ac:dyDescent="0.25" r="55" customHeight="1" ht="18.75">
      <c r="A55" s="14">
        <v>54</v>
      </c>
      <c r="B55" s="23" t="s">
        <v>10</v>
      </c>
      <c r="C55" s="27"/>
      <c r="D55" s="17" t="s">
        <v>29</v>
      </c>
      <c r="E55" s="25">
        <v>2</v>
      </c>
      <c r="F55" s="17" t="s">
        <v>12</v>
      </c>
      <c r="G55" s="17" t="s">
        <v>14</v>
      </c>
      <c r="H55" s="17" t="s">
        <v>36</v>
      </c>
      <c r="I55" s="26">
        <f>IF(F55="No","Borrow Allowed","Borrow Denied")</f>
      </c>
    </row>
    <row x14ac:dyDescent="0.25" r="56" customHeight="1" ht="18.75">
      <c r="A56" s="14">
        <v>55</v>
      </c>
      <c r="B56" s="23" t="s">
        <v>10</v>
      </c>
      <c r="C56" s="27"/>
      <c r="D56" s="17" t="s">
        <v>29</v>
      </c>
      <c r="E56" s="25">
        <v>2</v>
      </c>
      <c r="F56" s="17" t="s">
        <v>12</v>
      </c>
      <c r="G56" s="17" t="s">
        <v>36</v>
      </c>
      <c r="H56" s="17" t="s">
        <v>14</v>
      </c>
      <c r="I56" s="26">
        <f>IF(F56="No","Borrow Allowed","Borrow Denied")</f>
      </c>
    </row>
    <row x14ac:dyDescent="0.25" r="57" customHeight="1" ht="18.75">
      <c r="A57" s="14">
        <v>56</v>
      </c>
      <c r="B57" s="23" t="s">
        <v>10</v>
      </c>
      <c r="C57" s="27"/>
      <c r="D57" s="17" t="s">
        <v>29</v>
      </c>
      <c r="E57" s="25">
        <v>2</v>
      </c>
      <c r="F57" s="17" t="s">
        <v>12</v>
      </c>
      <c r="G57" s="17" t="s">
        <v>36</v>
      </c>
      <c r="H57" s="17" t="s">
        <v>36</v>
      </c>
      <c r="I57" s="26">
        <f>IF(F57="No","Borrow Allowed","Borrow Denied")</f>
      </c>
    </row>
    <row x14ac:dyDescent="0.25" r="58" customHeight="1" ht="18.75">
      <c r="A58" s="14">
        <v>57</v>
      </c>
      <c r="B58" s="23" t="s">
        <v>10</v>
      </c>
      <c r="C58" s="27"/>
      <c r="D58" s="17" t="s">
        <v>29</v>
      </c>
      <c r="E58" s="25">
        <v>7</v>
      </c>
      <c r="F58" s="17" t="s">
        <v>18</v>
      </c>
      <c r="G58" s="17" t="s">
        <v>14</v>
      </c>
      <c r="H58" s="17" t="s">
        <v>14</v>
      </c>
      <c r="I58" s="26">
        <f>IF(F58="No","Borrow Allowed","Borrow Denied")</f>
      </c>
    </row>
    <row x14ac:dyDescent="0.25" r="59" customHeight="1" ht="18.75">
      <c r="A59" s="14">
        <v>58</v>
      </c>
      <c r="B59" s="23" t="s">
        <v>10</v>
      </c>
      <c r="C59" s="27"/>
      <c r="D59" s="17" t="s">
        <v>29</v>
      </c>
      <c r="E59" s="25">
        <v>7</v>
      </c>
      <c r="F59" s="17" t="s">
        <v>18</v>
      </c>
      <c r="G59" s="17" t="s">
        <v>14</v>
      </c>
      <c r="H59" s="17" t="s">
        <v>36</v>
      </c>
      <c r="I59" s="26">
        <f>IF(F59="No","Borrow Allowed","Borrow Denied")</f>
      </c>
    </row>
    <row x14ac:dyDescent="0.25" r="60" customHeight="1" ht="18.75">
      <c r="A60" s="14">
        <v>59</v>
      </c>
      <c r="B60" s="23" t="s">
        <v>10</v>
      </c>
      <c r="C60" s="27"/>
      <c r="D60" s="17" t="s">
        <v>29</v>
      </c>
      <c r="E60" s="25">
        <v>7</v>
      </c>
      <c r="F60" s="17" t="s">
        <v>18</v>
      </c>
      <c r="G60" s="17" t="s">
        <v>36</v>
      </c>
      <c r="H60" s="17" t="s">
        <v>14</v>
      </c>
      <c r="I60" s="26">
        <f>IF(F60="No","Borrow Allowed","Borrow Denied")</f>
      </c>
    </row>
    <row x14ac:dyDescent="0.25" r="61" customHeight="1" ht="18.75">
      <c r="A61" s="14">
        <v>60</v>
      </c>
      <c r="B61" s="23" t="s">
        <v>10</v>
      </c>
      <c r="C61" s="27"/>
      <c r="D61" s="17" t="s">
        <v>29</v>
      </c>
      <c r="E61" s="25">
        <v>7</v>
      </c>
      <c r="F61" s="17" t="s">
        <v>18</v>
      </c>
      <c r="G61" s="17" t="s">
        <v>36</v>
      </c>
      <c r="H61" s="17" t="s">
        <v>36</v>
      </c>
      <c r="I61" s="26">
        <f>IF(F61="No","Borrow Allowed","Borrow Denied")</f>
      </c>
    </row>
    <row x14ac:dyDescent="0.25" r="62" customHeight="1" ht="18.75">
      <c r="A62" s="14">
        <v>61</v>
      </c>
      <c r="B62" s="23" t="s">
        <v>10</v>
      </c>
      <c r="C62" s="27"/>
      <c r="D62" s="17" t="s">
        <v>29</v>
      </c>
      <c r="E62" s="25">
        <v>7</v>
      </c>
      <c r="F62" s="17" t="s">
        <v>12</v>
      </c>
      <c r="G62" s="17" t="s">
        <v>14</v>
      </c>
      <c r="H62" s="17" t="s">
        <v>14</v>
      </c>
      <c r="I62" s="26">
        <f>IF(F62="No","Borrow Allowed","Borrow Denied")</f>
      </c>
    </row>
    <row x14ac:dyDescent="0.25" r="63" customHeight="1" ht="18.75">
      <c r="A63" s="14">
        <v>62</v>
      </c>
      <c r="B63" s="23" t="s">
        <v>10</v>
      </c>
      <c r="C63" s="27"/>
      <c r="D63" s="17" t="s">
        <v>29</v>
      </c>
      <c r="E63" s="25">
        <v>7</v>
      </c>
      <c r="F63" s="17" t="s">
        <v>12</v>
      </c>
      <c r="G63" s="17" t="s">
        <v>14</v>
      </c>
      <c r="H63" s="17" t="s">
        <v>36</v>
      </c>
      <c r="I63" s="26">
        <f>IF(F63="No","Borrow Allowed","Borrow Denied")</f>
      </c>
    </row>
    <row x14ac:dyDescent="0.25" r="64" customHeight="1" ht="18.75">
      <c r="A64" s="14">
        <v>63</v>
      </c>
      <c r="B64" s="23" t="s">
        <v>10</v>
      </c>
      <c r="C64" s="27"/>
      <c r="D64" s="17" t="s">
        <v>29</v>
      </c>
      <c r="E64" s="25">
        <v>7</v>
      </c>
      <c r="F64" s="17" t="s">
        <v>12</v>
      </c>
      <c r="G64" s="17" t="s">
        <v>36</v>
      </c>
      <c r="H64" s="17" t="s">
        <v>14</v>
      </c>
      <c r="I64" s="26">
        <f>IF(F64="No","Borrow Allowed","Borrow Denied")</f>
      </c>
    </row>
    <row x14ac:dyDescent="0.25" r="65" customHeight="1" ht="18.75">
      <c r="A65" s="14">
        <v>64</v>
      </c>
      <c r="B65" s="23" t="s">
        <v>10</v>
      </c>
      <c r="C65" s="27"/>
      <c r="D65" s="17" t="s">
        <v>29</v>
      </c>
      <c r="E65" s="25">
        <v>7</v>
      </c>
      <c r="F65" s="17" t="s">
        <v>12</v>
      </c>
      <c r="G65" s="17" t="s">
        <v>36</v>
      </c>
      <c r="H65" s="17" t="s">
        <v>36</v>
      </c>
      <c r="I65" s="26">
        <f>IF(F65="No","Borrow Allowed","Borrow Denied")</f>
      </c>
    </row>
    <row x14ac:dyDescent="0.25" r="66" customHeight="1" ht="18.75">
      <c r="A66" s="14">
        <v>65</v>
      </c>
      <c r="B66" s="23" t="s">
        <v>10</v>
      </c>
      <c r="C66" s="27"/>
      <c r="D66" s="17" t="s">
        <v>29</v>
      </c>
      <c r="E66" s="25">
        <v>14</v>
      </c>
      <c r="F66" s="17" t="s">
        <v>18</v>
      </c>
      <c r="G66" s="17" t="s">
        <v>14</v>
      </c>
      <c r="H66" s="17" t="s">
        <v>14</v>
      </c>
      <c r="I66" s="26">
        <f>IF(F66="No","Borrow Allowed","Borrow Denied")</f>
      </c>
    </row>
    <row x14ac:dyDescent="0.25" r="67" customHeight="1" ht="18.75">
      <c r="A67" s="14">
        <v>66</v>
      </c>
      <c r="B67" s="23" t="s">
        <v>10</v>
      </c>
      <c r="C67" s="27"/>
      <c r="D67" s="17" t="s">
        <v>29</v>
      </c>
      <c r="E67" s="25">
        <v>14</v>
      </c>
      <c r="F67" s="17" t="s">
        <v>18</v>
      </c>
      <c r="G67" s="17" t="s">
        <v>14</v>
      </c>
      <c r="H67" s="17" t="s">
        <v>36</v>
      </c>
      <c r="I67" s="26">
        <f>IF(F67="No","Borrow Allowed","Borrow Denied")</f>
      </c>
    </row>
    <row x14ac:dyDescent="0.25" r="68" customHeight="1" ht="18.75">
      <c r="A68" s="14">
        <v>67</v>
      </c>
      <c r="B68" s="23" t="s">
        <v>10</v>
      </c>
      <c r="C68" s="27"/>
      <c r="D68" s="17" t="s">
        <v>29</v>
      </c>
      <c r="E68" s="25">
        <v>14</v>
      </c>
      <c r="F68" s="17" t="s">
        <v>18</v>
      </c>
      <c r="G68" s="17" t="s">
        <v>36</v>
      </c>
      <c r="H68" s="17" t="s">
        <v>14</v>
      </c>
      <c r="I68" s="26">
        <f>IF(F68="No","Borrow Allowed","Borrow Denied")</f>
      </c>
    </row>
    <row x14ac:dyDescent="0.25" r="69" customHeight="1" ht="18.75">
      <c r="A69" s="14">
        <v>68</v>
      </c>
      <c r="B69" s="23" t="s">
        <v>10</v>
      </c>
      <c r="C69" s="27"/>
      <c r="D69" s="17" t="s">
        <v>29</v>
      </c>
      <c r="E69" s="25">
        <v>14</v>
      </c>
      <c r="F69" s="17" t="s">
        <v>18</v>
      </c>
      <c r="G69" s="17" t="s">
        <v>36</v>
      </c>
      <c r="H69" s="17" t="s">
        <v>36</v>
      </c>
      <c r="I69" s="26">
        <f>IF(F69="No","Borrow Allowed","Borrow Denied")</f>
      </c>
    </row>
    <row x14ac:dyDescent="0.25" r="70" customHeight="1" ht="18.75">
      <c r="A70" s="14">
        <v>69</v>
      </c>
      <c r="B70" s="23" t="s">
        <v>10</v>
      </c>
      <c r="C70" s="27"/>
      <c r="D70" s="17" t="s">
        <v>29</v>
      </c>
      <c r="E70" s="25">
        <v>14</v>
      </c>
      <c r="F70" s="17" t="s">
        <v>12</v>
      </c>
      <c r="G70" s="17" t="s">
        <v>14</v>
      </c>
      <c r="H70" s="17" t="s">
        <v>14</v>
      </c>
      <c r="I70" s="26">
        <f>IF(F70="No","Borrow Allowed","Borrow Denied")</f>
      </c>
    </row>
    <row x14ac:dyDescent="0.25" r="71" customHeight="1" ht="18.75">
      <c r="A71" s="14">
        <v>70</v>
      </c>
      <c r="B71" s="23" t="s">
        <v>10</v>
      </c>
      <c r="C71" s="27"/>
      <c r="D71" s="17" t="s">
        <v>29</v>
      </c>
      <c r="E71" s="25">
        <v>14</v>
      </c>
      <c r="F71" s="17" t="s">
        <v>12</v>
      </c>
      <c r="G71" s="17" t="s">
        <v>14</v>
      </c>
      <c r="H71" s="17" t="s">
        <v>36</v>
      </c>
      <c r="I71" s="26">
        <f>IF(F71="No","Borrow Allowed","Borrow Denied")</f>
      </c>
    </row>
    <row x14ac:dyDescent="0.25" r="72" customHeight="1" ht="18.75">
      <c r="A72" s="14">
        <v>71</v>
      </c>
      <c r="B72" s="23" t="s">
        <v>10</v>
      </c>
      <c r="C72" s="27"/>
      <c r="D72" s="17" t="s">
        <v>29</v>
      </c>
      <c r="E72" s="25">
        <v>14</v>
      </c>
      <c r="F72" s="17" t="s">
        <v>12</v>
      </c>
      <c r="G72" s="17" t="s">
        <v>36</v>
      </c>
      <c r="H72" s="17" t="s">
        <v>14</v>
      </c>
      <c r="I72" s="26">
        <f>IF(F72="No","Borrow Allowed","Borrow Denied")</f>
      </c>
    </row>
    <row x14ac:dyDescent="0.25" r="73" customHeight="1" ht="18.75">
      <c r="A73" s="5">
        <v>72</v>
      </c>
      <c r="B73" s="6" t="s">
        <v>10</v>
      </c>
      <c r="C73" s="27"/>
      <c r="D73" s="6" t="s">
        <v>29</v>
      </c>
      <c r="E73" s="28">
        <v>14</v>
      </c>
      <c r="F73" s="6" t="s">
        <v>12</v>
      </c>
      <c r="G73" s="6" t="s">
        <v>36</v>
      </c>
      <c r="H73" s="6" t="s">
        <v>36</v>
      </c>
      <c r="I73" s="26">
        <f>IF(F73="No","Borrow Allowed","Borrow Denied")</f>
      </c>
    </row>
    <row x14ac:dyDescent="0.25" r="74" customHeight="1" ht="18.75">
      <c r="A74" s="14">
        <v>73</v>
      </c>
      <c r="B74" s="8" t="s">
        <v>38</v>
      </c>
      <c r="C74" s="27"/>
      <c r="D74" s="17" t="s">
        <v>35</v>
      </c>
      <c r="E74" s="25">
        <v>2</v>
      </c>
      <c r="F74" s="17" t="s">
        <v>18</v>
      </c>
      <c r="G74" s="17" t="s">
        <v>14</v>
      </c>
      <c r="H74" s="17" t="s">
        <v>14</v>
      </c>
      <c r="I74" s="26">
        <f>IF(AND(F74="No", G74="Completed"), "Borrow Allowed", "Borrow Denied")</f>
      </c>
    </row>
    <row x14ac:dyDescent="0.25" r="75" customHeight="1" ht="18.75">
      <c r="A75" s="14">
        <v>74</v>
      </c>
      <c r="B75" s="8" t="s">
        <v>38</v>
      </c>
      <c r="C75" s="27"/>
      <c r="D75" s="17" t="s">
        <v>35</v>
      </c>
      <c r="E75" s="25">
        <v>2</v>
      </c>
      <c r="F75" s="17" t="s">
        <v>18</v>
      </c>
      <c r="G75" s="17" t="s">
        <v>14</v>
      </c>
      <c r="H75" s="17" t="s">
        <v>36</v>
      </c>
      <c r="I75" s="26">
        <f>IF(AND(F75="No", G75="Completed"), "Borrow Allowed", "Borrow Denied")</f>
      </c>
    </row>
    <row x14ac:dyDescent="0.25" r="76" customHeight="1" ht="18.75">
      <c r="A76" s="14">
        <v>75</v>
      </c>
      <c r="B76" s="8" t="s">
        <v>38</v>
      </c>
      <c r="C76" s="27"/>
      <c r="D76" s="17" t="s">
        <v>35</v>
      </c>
      <c r="E76" s="25">
        <v>2</v>
      </c>
      <c r="F76" s="17" t="s">
        <v>18</v>
      </c>
      <c r="G76" s="17" t="s">
        <v>36</v>
      </c>
      <c r="H76" s="17" t="s">
        <v>14</v>
      </c>
      <c r="I76" s="26">
        <f>IF(AND(F76="No", G76="Completed"), "Borrow Allowed", "Borrow Denied")</f>
      </c>
    </row>
    <row x14ac:dyDescent="0.25" r="77" customHeight="1" ht="18.75">
      <c r="A77" s="14">
        <v>76</v>
      </c>
      <c r="B77" s="8" t="s">
        <v>38</v>
      </c>
      <c r="C77" s="27"/>
      <c r="D77" s="17" t="s">
        <v>35</v>
      </c>
      <c r="E77" s="25">
        <v>2</v>
      </c>
      <c r="F77" s="17" t="s">
        <v>18</v>
      </c>
      <c r="G77" s="17" t="s">
        <v>36</v>
      </c>
      <c r="H77" s="17" t="s">
        <v>36</v>
      </c>
      <c r="I77" s="26">
        <f>IF(AND(F77="No", G77="Completed"), "Borrow Allowed", "Borrow Denied")</f>
      </c>
    </row>
    <row x14ac:dyDescent="0.25" r="78" customHeight="1" ht="18.75">
      <c r="A78" s="14">
        <v>77</v>
      </c>
      <c r="B78" s="8" t="s">
        <v>38</v>
      </c>
      <c r="C78" s="27"/>
      <c r="D78" s="17" t="s">
        <v>35</v>
      </c>
      <c r="E78" s="25">
        <v>2</v>
      </c>
      <c r="F78" s="17" t="s">
        <v>12</v>
      </c>
      <c r="G78" s="17" t="s">
        <v>14</v>
      </c>
      <c r="H78" s="17" t="s">
        <v>14</v>
      </c>
      <c r="I78" s="26">
        <f>IF(AND(F78="No", G78="Completed"), "Borrow Allowed", "Borrow Denied")</f>
      </c>
    </row>
    <row x14ac:dyDescent="0.25" r="79" customHeight="1" ht="18.75">
      <c r="A79" s="14">
        <v>78</v>
      </c>
      <c r="B79" s="8" t="s">
        <v>38</v>
      </c>
      <c r="C79" s="27"/>
      <c r="D79" s="17" t="s">
        <v>35</v>
      </c>
      <c r="E79" s="25">
        <v>2</v>
      </c>
      <c r="F79" s="17" t="s">
        <v>12</v>
      </c>
      <c r="G79" s="17" t="s">
        <v>14</v>
      </c>
      <c r="H79" s="17" t="s">
        <v>36</v>
      </c>
      <c r="I79" s="26">
        <f>IF(AND(F79="No", G79="Completed"), "Borrow Allowed", "Borrow Denied")</f>
      </c>
    </row>
    <row x14ac:dyDescent="0.25" r="80" customHeight="1" ht="18.75">
      <c r="A80" s="14">
        <v>79</v>
      </c>
      <c r="B80" s="8" t="s">
        <v>38</v>
      </c>
      <c r="C80" s="27"/>
      <c r="D80" s="17" t="s">
        <v>35</v>
      </c>
      <c r="E80" s="25">
        <v>2</v>
      </c>
      <c r="F80" s="17" t="s">
        <v>12</v>
      </c>
      <c r="G80" s="17" t="s">
        <v>36</v>
      </c>
      <c r="H80" s="17" t="s">
        <v>14</v>
      </c>
      <c r="I80" s="26">
        <f>IF(AND(F80="No", G80="Completed"), "Borrow Allowed", "Borrow Denied")</f>
      </c>
    </row>
    <row x14ac:dyDescent="0.25" r="81" customHeight="1" ht="18.75">
      <c r="A81" s="14">
        <v>80</v>
      </c>
      <c r="B81" s="8" t="s">
        <v>38</v>
      </c>
      <c r="C81" s="27"/>
      <c r="D81" s="17" t="s">
        <v>35</v>
      </c>
      <c r="E81" s="25">
        <v>2</v>
      </c>
      <c r="F81" s="17" t="s">
        <v>12</v>
      </c>
      <c r="G81" s="17" t="s">
        <v>36</v>
      </c>
      <c r="H81" s="17" t="s">
        <v>36</v>
      </c>
      <c r="I81" s="26">
        <f>IF(AND(F81="No", G81="Completed"), "Borrow Allowed", "Borrow Denied")</f>
      </c>
    </row>
    <row x14ac:dyDescent="0.25" r="82" customHeight="1" ht="18.75">
      <c r="A82" s="14">
        <v>81</v>
      </c>
      <c r="B82" s="8" t="s">
        <v>38</v>
      </c>
      <c r="C82" s="27"/>
      <c r="D82" s="17" t="s">
        <v>35</v>
      </c>
      <c r="E82" s="25">
        <v>7</v>
      </c>
      <c r="F82" s="17" t="s">
        <v>18</v>
      </c>
      <c r="G82" s="17" t="s">
        <v>14</v>
      </c>
      <c r="H82" s="17" t="s">
        <v>14</v>
      </c>
      <c r="I82" s="26">
        <f>IF(AND(F82="No", G82="Completed"), "Borrow Allowed", "Borrow Denied")</f>
      </c>
    </row>
    <row x14ac:dyDescent="0.25" r="83" customHeight="1" ht="18.75">
      <c r="A83" s="14">
        <v>82</v>
      </c>
      <c r="B83" s="8" t="s">
        <v>38</v>
      </c>
      <c r="C83" s="27"/>
      <c r="D83" s="17" t="s">
        <v>35</v>
      </c>
      <c r="E83" s="25">
        <v>7</v>
      </c>
      <c r="F83" s="17" t="s">
        <v>18</v>
      </c>
      <c r="G83" s="17" t="s">
        <v>14</v>
      </c>
      <c r="H83" s="17" t="s">
        <v>36</v>
      </c>
      <c r="I83" s="26">
        <f>IF(AND(F83="No", G83="Completed"), "Borrow Allowed", "Borrow Denied")</f>
      </c>
    </row>
    <row x14ac:dyDescent="0.25" r="84" customHeight="1" ht="18.75">
      <c r="A84" s="14">
        <v>83</v>
      </c>
      <c r="B84" s="8" t="s">
        <v>38</v>
      </c>
      <c r="C84" s="27"/>
      <c r="D84" s="17" t="s">
        <v>35</v>
      </c>
      <c r="E84" s="25">
        <v>7</v>
      </c>
      <c r="F84" s="17" t="s">
        <v>18</v>
      </c>
      <c r="G84" s="17" t="s">
        <v>36</v>
      </c>
      <c r="H84" s="17" t="s">
        <v>14</v>
      </c>
      <c r="I84" s="26">
        <f>IF(AND(F84="No", G84="Completed"), "Borrow Allowed", "Borrow Denied")</f>
      </c>
    </row>
    <row x14ac:dyDescent="0.25" r="85" customHeight="1" ht="18.75">
      <c r="A85" s="14">
        <v>84</v>
      </c>
      <c r="B85" s="8" t="s">
        <v>38</v>
      </c>
      <c r="C85" s="27"/>
      <c r="D85" s="17" t="s">
        <v>35</v>
      </c>
      <c r="E85" s="25">
        <v>7</v>
      </c>
      <c r="F85" s="17" t="s">
        <v>18</v>
      </c>
      <c r="G85" s="17" t="s">
        <v>36</v>
      </c>
      <c r="H85" s="17" t="s">
        <v>36</v>
      </c>
      <c r="I85" s="26">
        <f>IF(AND(F85="No", G85="Completed"), "Borrow Allowed", "Borrow Denied")</f>
      </c>
    </row>
    <row x14ac:dyDescent="0.25" r="86" customHeight="1" ht="18.75">
      <c r="A86" s="14">
        <v>85</v>
      </c>
      <c r="B86" s="8" t="s">
        <v>38</v>
      </c>
      <c r="C86" s="27"/>
      <c r="D86" s="17" t="s">
        <v>35</v>
      </c>
      <c r="E86" s="25">
        <v>7</v>
      </c>
      <c r="F86" s="17" t="s">
        <v>12</v>
      </c>
      <c r="G86" s="17" t="s">
        <v>14</v>
      </c>
      <c r="H86" s="17" t="s">
        <v>14</v>
      </c>
      <c r="I86" s="26">
        <f>IF(AND(F86="No", G86="Completed"), "Borrow Allowed", "Borrow Denied")</f>
      </c>
    </row>
    <row x14ac:dyDescent="0.25" r="87" customHeight="1" ht="18.75">
      <c r="A87" s="14">
        <v>86</v>
      </c>
      <c r="B87" s="8" t="s">
        <v>38</v>
      </c>
      <c r="C87" s="27"/>
      <c r="D87" s="17" t="s">
        <v>35</v>
      </c>
      <c r="E87" s="25">
        <v>7</v>
      </c>
      <c r="F87" s="17" t="s">
        <v>12</v>
      </c>
      <c r="G87" s="17" t="s">
        <v>14</v>
      </c>
      <c r="H87" s="17" t="s">
        <v>36</v>
      </c>
      <c r="I87" s="26">
        <f>IF(AND(F87="No", G87="Completed"), "Borrow Allowed", "Borrow Denied")</f>
      </c>
    </row>
    <row x14ac:dyDescent="0.25" r="88" customHeight="1" ht="18.75">
      <c r="A88" s="14">
        <v>87</v>
      </c>
      <c r="B88" s="8" t="s">
        <v>38</v>
      </c>
      <c r="C88" s="27"/>
      <c r="D88" s="17" t="s">
        <v>35</v>
      </c>
      <c r="E88" s="25">
        <v>7</v>
      </c>
      <c r="F88" s="17" t="s">
        <v>12</v>
      </c>
      <c r="G88" s="17" t="s">
        <v>36</v>
      </c>
      <c r="H88" s="17" t="s">
        <v>14</v>
      </c>
      <c r="I88" s="26">
        <f>IF(AND(F88="No", G88="Completed"), "Borrow Allowed", "Borrow Denied")</f>
      </c>
    </row>
    <row x14ac:dyDescent="0.25" r="89" customHeight="1" ht="18.75">
      <c r="A89" s="14">
        <v>88</v>
      </c>
      <c r="B89" s="8" t="s">
        <v>38</v>
      </c>
      <c r="C89" s="27"/>
      <c r="D89" s="17" t="s">
        <v>35</v>
      </c>
      <c r="E89" s="25">
        <v>7</v>
      </c>
      <c r="F89" s="17" t="s">
        <v>12</v>
      </c>
      <c r="G89" s="17" t="s">
        <v>36</v>
      </c>
      <c r="H89" s="17" t="s">
        <v>36</v>
      </c>
      <c r="I89" s="26">
        <f>IF(AND(F89="No", G89="Completed"), "Borrow Allowed", "Borrow Denied")</f>
      </c>
    </row>
    <row x14ac:dyDescent="0.25" r="90" customHeight="1" ht="18.75">
      <c r="A90" s="14">
        <v>89</v>
      </c>
      <c r="B90" s="8" t="s">
        <v>38</v>
      </c>
      <c r="C90" s="27"/>
      <c r="D90" s="17" t="s">
        <v>35</v>
      </c>
      <c r="E90" s="25">
        <v>14</v>
      </c>
      <c r="F90" s="17" t="s">
        <v>18</v>
      </c>
      <c r="G90" s="17" t="s">
        <v>14</v>
      </c>
      <c r="H90" s="17" t="s">
        <v>14</v>
      </c>
      <c r="I90" s="26">
        <f>IF(AND(F90="No", G90="Completed"), "Borrow Allowed", "Borrow Denied")</f>
      </c>
    </row>
    <row x14ac:dyDescent="0.25" r="91" customHeight="1" ht="18.75">
      <c r="A91" s="14">
        <v>90</v>
      </c>
      <c r="B91" s="8" t="s">
        <v>38</v>
      </c>
      <c r="C91" s="27"/>
      <c r="D91" s="17" t="s">
        <v>35</v>
      </c>
      <c r="E91" s="25">
        <v>14</v>
      </c>
      <c r="F91" s="17" t="s">
        <v>18</v>
      </c>
      <c r="G91" s="17" t="s">
        <v>14</v>
      </c>
      <c r="H91" s="17" t="s">
        <v>36</v>
      </c>
      <c r="I91" s="26">
        <f>IF(AND(F91="No", G91="Completed"), "Borrow Allowed", "Borrow Denied")</f>
      </c>
    </row>
    <row x14ac:dyDescent="0.25" r="92" customHeight="1" ht="18.75">
      <c r="A92" s="14">
        <v>91</v>
      </c>
      <c r="B92" s="8" t="s">
        <v>38</v>
      </c>
      <c r="C92" s="27"/>
      <c r="D92" s="17" t="s">
        <v>35</v>
      </c>
      <c r="E92" s="25">
        <v>14</v>
      </c>
      <c r="F92" s="17" t="s">
        <v>18</v>
      </c>
      <c r="G92" s="17" t="s">
        <v>36</v>
      </c>
      <c r="H92" s="17" t="s">
        <v>14</v>
      </c>
      <c r="I92" s="26">
        <f>IF(AND(F92="No", G92="Completed"), "Borrow Allowed", "Borrow Denied")</f>
      </c>
    </row>
    <row x14ac:dyDescent="0.25" r="93" customHeight="1" ht="18.75">
      <c r="A93" s="14">
        <v>92</v>
      </c>
      <c r="B93" s="8" t="s">
        <v>38</v>
      </c>
      <c r="C93" s="27"/>
      <c r="D93" s="17" t="s">
        <v>35</v>
      </c>
      <c r="E93" s="25">
        <v>14</v>
      </c>
      <c r="F93" s="17" t="s">
        <v>18</v>
      </c>
      <c r="G93" s="17" t="s">
        <v>36</v>
      </c>
      <c r="H93" s="17" t="s">
        <v>36</v>
      </c>
      <c r="I93" s="26">
        <f>IF(AND(F93="No", G93="Completed"), "Borrow Allowed", "Borrow Denied")</f>
      </c>
    </row>
    <row x14ac:dyDescent="0.25" r="94" customHeight="1" ht="18.75">
      <c r="A94" s="14">
        <v>93</v>
      </c>
      <c r="B94" s="8" t="s">
        <v>38</v>
      </c>
      <c r="C94" s="27"/>
      <c r="D94" s="17" t="s">
        <v>35</v>
      </c>
      <c r="E94" s="25">
        <v>14</v>
      </c>
      <c r="F94" s="17" t="s">
        <v>12</v>
      </c>
      <c r="G94" s="17" t="s">
        <v>14</v>
      </c>
      <c r="H94" s="17" t="s">
        <v>14</v>
      </c>
      <c r="I94" s="26">
        <f>IF(AND(F94="No", G94="Completed"), "Borrow Allowed", "Borrow Denied")</f>
      </c>
    </row>
    <row x14ac:dyDescent="0.25" r="95" customHeight="1" ht="18.75">
      <c r="A95" s="14">
        <v>94</v>
      </c>
      <c r="B95" s="8" t="s">
        <v>38</v>
      </c>
      <c r="C95" s="27"/>
      <c r="D95" s="17" t="s">
        <v>35</v>
      </c>
      <c r="E95" s="25">
        <v>14</v>
      </c>
      <c r="F95" s="17" t="s">
        <v>12</v>
      </c>
      <c r="G95" s="17" t="s">
        <v>14</v>
      </c>
      <c r="H95" s="17" t="s">
        <v>36</v>
      </c>
      <c r="I95" s="26">
        <f>IF(AND(F95="No", G95="Completed"), "Borrow Allowed", "Borrow Denied")</f>
      </c>
    </row>
    <row x14ac:dyDescent="0.25" r="96" customHeight="1" ht="18.75">
      <c r="A96" s="14">
        <v>95</v>
      </c>
      <c r="B96" s="8" t="s">
        <v>38</v>
      </c>
      <c r="C96" s="27"/>
      <c r="D96" s="17" t="s">
        <v>35</v>
      </c>
      <c r="E96" s="25">
        <v>14</v>
      </c>
      <c r="F96" s="17" t="s">
        <v>12</v>
      </c>
      <c r="G96" s="17" t="s">
        <v>36</v>
      </c>
      <c r="H96" s="17" t="s">
        <v>14</v>
      </c>
      <c r="I96" s="26">
        <f>IF(AND(F96="No", G96="Completed"), "Borrow Allowed", "Borrow Denied")</f>
      </c>
    </row>
    <row x14ac:dyDescent="0.25" r="97" customHeight="1" ht="18.75">
      <c r="A97" s="14">
        <v>96</v>
      </c>
      <c r="B97" s="8" t="s">
        <v>38</v>
      </c>
      <c r="C97" s="27"/>
      <c r="D97" s="6" t="s">
        <v>35</v>
      </c>
      <c r="E97" s="28">
        <v>14</v>
      </c>
      <c r="F97" s="6" t="s">
        <v>12</v>
      </c>
      <c r="G97" s="6" t="s">
        <v>36</v>
      </c>
      <c r="H97" s="6" t="s">
        <v>36</v>
      </c>
      <c r="I97" s="26">
        <f>IF(AND(F97="No", G97="Completed"), "Borrow Allowed", "Borrow Denied")</f>
      </c>
    </row>
    <row x14ac:dyDescent="0.25" r="98" customHeight="1" ht="18.75">
      <c r="A98" s="14">
        <v>97</v>
      </c>
      <c r="B98" s="8" t="s">
        <v>38</v>
      </c>
      <c r="C98" s="27"/>
      <c r="D98" s="17" t="s">
        <v>37</v>
      </c>
      <c r="E98" s="25">
        <v>2</v>
      </c>
      <c r="F98" s="17" t="s">
        <v>18</v>
      </c>
      <c r="G98" s="17" t="s">
        <v>14</v>
      </c>
      <c r="H98" s="17" t="s">
        <v>14</v>
      </c>
      <c r="I98" s="26">
        <f>IF(AND(F98="No", G98="Completed"), "Borrow Allowed", "Borrow Denied")</f>
      </c>
    </row>
    <row x14ac:dyDescent="0.25" r="99" customHeight="1" ht="18.75">
      <c r="A99" s="14">
        <v>98</v>
      </c>
      <c r="B99" s="8" t="s">
        <v>38</v>
      </c>
      <c r="C99" s="27"/>
      <c r="D99" s="17" t="s">
        <v>37</v>
      </c>
      <c r="E99" s="25">
        <v>2</v>
      </c>
      <c r="F99" s="17" t="s">
        <v>18</v>
      </c>
      <c r="G99" s="17" t="s">
        <v>14</v>
      </c>
      <c r="H99" s="17" t="s">
        <v>36</v>
      </c>
      <c r="I99" s="26">
        <f>IF(AND(F99="No", G99="Completed"), "Borrow Allowed", "Borrow Denied")</f>
      </c>
    </row>
    <row x14ac:dyDescent="0.25" r="100" customHeight="1" ht="18.75">
      <c r="A100" s="14">
        <v>99</v>
      </c>
      <c r="B100" s="8" t="s">
        <v>38</v>
      </c>
      <c r="C100" s="27"/>
      <c r="D100" s="17" t="s">
        <v>37</v>
      </c>
      <c r="E100" s="25">
        <v>2</v>
      </c>
      <c r="F100" s="17" t="s">
        <v>18</v>
      </c>
      <c r="G100" s="17" t="s">
        <v>36</v>
      </c>
      <c r="H100" s="17" t="s">
        <v>14</v>
      </c>
      <c r="I100" s="26">
        <f>IF(AND(F100="No", G100="Completed"), "Borrow Allowed", "Borrow Denied")</f>
      </c>
    </row>
    <row x14ac:dyDescent="0.25" r="101" customHeight="1" ht="18.75">
      <c r="A101" s="14">
        <v>100</v>
      </c>
      <c r="B101" s="8" t="s">
        <v>38</v>
      </c>
      <c r="C101" s="27"/>
      <c r="D101" s="17" t="s">
        <v>37</v>
      </c>
      <c r="E101" s="25">
        <v>2</v>
      </c>
      <c r="F101" s="17" t="s">
        <v>18</v>
      </c>
      <c r="G101" s="17" t="s">
        <v>36</v>
      </c>
      <c r="H101" s="17" t="s">
        <v>36</v>
      </c>
      <c r="I101" s="26">
        <f>IF(AND(F101="No", G101="Completed"), "Borrow Allowed", "Borrow Denied")</f>
      </c>
    </row>
    <row x14ac:dyDescent="0.25" r="102" customHeight="1" ht="18.75">
      <c r="A102" s="14">
        <v>101</v>
      </c>
      <c r="B102" s="8" t="s">
        <v>38</v>
      </c>
      <c r="C102" s="27"/>
      <c r="D102" s="17" t="s">
        <v>37</v>
      </c>
      <c r="E102" s="25">
        <v>2</v>
      </c>
      <c r="F102" s="17" t="s">
        <v>12</v>
      </c>
      <c r="G102" s="17" t="s">
        <v>14</v>
      </c>
      <c r="H102" s="17" t="s">
        <v>14</v>
      </c>
      <c r="I102" s="26">
        <f>IF(AND(F102="No", G102="Completed"), "Borrow Allowed", "Borrow Denied")</f>
      </c>
    </row>
    <row x14ac:dyDescent="0.25" r="103" customHeight="1" ht="18.75">
      <c r="A103" s="14">
        <v>102</v>
      </c>
      <c r="B103" s="8" t="s">
        <v>38</v>
      </c>
      <c r="C103" s="27"/>
      <c r="D103" s="17" t="s">
        <v>37</v>
      </c>
      <c r="E103" s="25">
        <v>2</v>
      </c>
      <c r="F103" s="17" t="s">
        <v>12</v>
      </c>
      <c r="G103" s="17" t="s">
        <v>14</v>
      </c>
      <c r="H103" s="17" t="s">
        <v>36</v>
      </c>
      <c r="I103" s="26">
        <f>IF(AND(F103="No", G103="Completed"), "Borrow Allowed", "Borrow Denied")</f>
      </c>
    </row>
    <row x14ac:dyDescent="0.25" r="104" customHeight="1" ht="18.75">
      <c r="A104" s="14">
        <v>103</v>
      </c>
      <c r="B104" s="8" t="s">
        <v>38</v>
      </c>
      <c r="C104" s="27"/>
      <c r="D104" s="17" t="s">
        <v>37</v>
      </c>
      <c r="E104" s="25">
        <v>2</v>
      </c>
      <c r="F104" s="17" t="s">
        <v>12</v>
      </c>
      <c r="G104" s="17" t="s">
        <v>36</v>
      </c>
      <c r="H104" s="17" t="s">
        <v>14</v>
      </c>
      <c r="I104" s="26">
        <f>IF(AND(F104="No", G104="Completed"), "Borrow Allowed", "Borrow Denied")</f>
      </c>
    </row>
    <row x14ac:dyDescent="0.25" r="105" customHeight="1" ht="18.75">
      <c r="A105" s="14">
        <v>104</v>
      </c>
      <c r="B105" s="8" t="s">
        <v>38</v>
      </c>
      <c r="C105" s="27"/>
      <c r="D105" s="17" t="s">
        <v>37</v>
      </c>
      <c r="E105" s="25">
        <v>2</v>
      </c>
      <c r="F105" s="17" t="s">
        <v>12</v>
      </c>
      <c r="G105" s="17" t="s">
        <v>36</v>
      </c>
      <c r="H105" s="17" t="s">
        <v>36</v>
      </c>
      <c r="I105" s="26">
        <f>IF(AND(F105="No", G105="Completed"), "Borrow Allowed", "Borrow Denied")</f>
      </c>
    </row>
    <row x14ac:dyDescent="0.25" r="106" customHeight="1" ht="18.75">
      <c r="A106" s="14">
        <v>105</v>
      </c>
      <c r="B106" s="8" t="s">
        <v>38</v>
      </c>
      <c r="C106" s="27"/>
      <c r="D106" s="17" t="s">
        <v>37</v>
      </c>
      <c r="E106" s="25">
        <v>7</v>
      </c>
      <c r="F106" s="17" t="s">
        <v>18</v>
      </c>
      <c r="G106" s="17" t="s">
        <v>14</v>
      </c>
      <c r="H106" s="17" t="s">
        <v>14</v>
      </c>
      <c r="I106" s="26">
        <f>IF(AND(F106="No", G106="Completed"), "Borrow Allowed", "Borrow Denied")</f>
      </c>
    </row>
    <row x14ac:dyDescent="0.25" r="107" customHeight="1" ht="18.75">
      <c r="A107" s="14">
        <v>106</v>
      </c>
      <c r="B107" s="8" t="s">
        <v>38</v>
      </c>
      <c r="C107" s="27"/>
      <c r="D107" s="17" t="s">
        <v>37</v>
      </c>
      <c r="E107" s="25">
        <v>7</v>
      </c>
      <c r="F107" s="17" t="s">
        <v>18</v>
      </c>
      <c r="G107" s="17" t="s">
        <v>14</v>
      </c>
      <c r="H107" s="17" t="s">
        <v>36</v>
      </c>
      <c r="I107" s="26">
        <f>IF(AND(F107="No", G107="Completed"), "Borrow Allowed", "Borrow Denied")</f>
      </c>
    </row>
    <row x14ac:dyDescent="0.25" r="108" customHeight="1" ht="18.75">
      <c r="A108" s="14">
        <v>107</v>
      </c>
      <c r="B108" s="8" t="s">
        <v>38</v>
      </c>
      <c r="C108" s="27"/>
      <c r="D108" s="17" t="s">
        <v>37</v>
      </c>
      <c r="E108" s="25">
        <v>7</v>
      </c>
      <c r="F108" s="17" t="s">
        <v>18</v>
      </c>
      <c r="G108" s="17" t="s">
        <v>36</v>
      </c>
      <c r="H108" s="17" t="s">
        <v>14</v>
      </c>
      <c r="I108" s="26">
        <f>IF(AND(F108="No", G108="Completed"), "Borrow Allowed", "Borrow Denied")</f>
      </c>
    </row>
    <row x14ac:dyDescent="0.25" r="109" customHeight="1" ht="18.75">
      <c r="A109" s="14">
        <v>108</v>
      </c>
      <c r="B109" s="8" t="s">
        <v>38</v>
      </c>
      <c r="C109" s="27"/>
      <c r="D109" s="17" t="s">
        <v>37</v>
      </c>
      <c r="E109" s="25">
        <v>7</v>
      </c>
      <c r="F109" s="17" t="s">
        <v>18</v>
      </c>
      <c r="G109" s="17" t="s">
        <v>36</v>
      </c>
      <c r="H109" s="17" t="s">
        <v>36</v>
      </c>
      <c r="I109" s="26">
        <f>IF(AND(F109="No", G109="Completed"), "Borrow Allowed", "Borrow Denied")</f>
      </c>
    </row>
    <row x14ac:dyDescent="0.25" r="110" customHeight="1" ht="18.75">
      <c r="A110" s="14">
        <v>109</v>
      </c>
      <c r="B110" s="8" t="s">
        <v>38</v>
      </c>
      <c r="C110" s="27"/>
      <c r="D110" s="17" t="s">
        <v>37</v>
      </c>
      <c r="E110" s="25">
        <v>7</v>
      </c>
      <c r="F110" s="17" t="s">
        <v>12</v>
      </c>
      <c r="G110" s="17" t="s">
        <v>14</v>
      </c>
      <c r="H110" s="17" t="s">
        <v>14</v>
      </c>
      <c r="I110" s="26">
        <f>IF(AND(F110="No", G110="Completed"), "Borrow Allowed", "Borrow Denied")</f>
      </c>
    </row>
    <row x14ac:dyDescent="0.25" r="111" customHeight="1" ht="18.75">
      <c r="A111" s="14">
        <v>110</v>
      </c>
      <c r="B111" s="8" t="s">
        <v>38</v>
      </c>
      <c r="C111" s="27"/>
      <c r="D111" s="17" t="s">
        <v>37</v>
      </c>
      <c r="E111" s="25">
        <v>7</v>
      </c>
      <c r="F111" s="17" t="s">
        <v>12</v>
      </c>
      <c r="G111" s="17" t="s">
        <v>14</v>
      </c>
      <c r="H111" s="17" t="s">
        <v>36</v>
      </c>
      <c r="I111" s="26">
        <f>IF(AND(F111="No", G111="Completed"), "Borrow Allowed", "Borrow Denied")</f>
      </c>
    </row>
    <row x14ac:dyDescent="0.25" r="112" customHeight="1" ht="18.75">
      <c r="A112" s="14">
        <v>111</v>
      </c>
      <c r="B112" s="8" t="s">
        <v>38</v>
      </c>
      <c r="C112" s="27"/>
      <c r="D112" s="17" t="s">
        <v>37</v>
      </c>
      <c r="E112" s="25">
        <v>7</v>
      </c>
      <c r="F112" s="17" t="s">
        <v>12</v>
      </c>
      <c r="G112" s="17" t="s">
        <v>36</v>
      </c>
      <c r="H112" s="17" t="s">
        <v>14</v>
      </c>
      <c r="I112" s="26">
        <f>IF(AND(F112="No", G112="Completed"), "Borrow Allowed", "Borrow Denied")</f>
      </c>
    </row>
    <row x14ac:dyDescent="0.25" r="113" customHeight="1" ht="18.75">
      <c r="A113" s="14">
        <v>112</v>
      </c>
      <c r="B113" s="8" t="s">
        <v>38</v>
      </c>
      <c r="C113" s="27"/>
      <c r="D113" s="17" t="s">
        <v>37</v>
      </c>
      <c r="E113" s="25">
        <v>7</v>
      </c>
      <c r="F113" s="17" t="s">
        <v>12</v>
      </c>
      <c r="G113" s="17" t="s">
        <v>36</v>
      </c>
      <c r="H113" s="17" t="s">
        <v>36</v>
      </c>
      <c r="I113" s="26">
        <f>IF(AND(F113="No", G113="Completed"), "Borrow Allowed", "Borrow Denied")</f>
      </c>
    </row>
    <row x14ac:dyDescent="0.25" r="114" customHeight="1" ht="18.75">
      <c r="A114" s="14">
        <v>113</v>
      </c>
      <c r="B114" s="8" t="s">
        <v>38</v>
      </c>
      <c r="C114" s="27"/>
      <c r="D114" s="17" t="s">
        <v>37</v>
      </c>
      <c r="E114" s="25">
        <v>14</v>
      </c>
      <c r="F114" s="17" t="s">
        <v>18</v>
      </c>
      <c r="G114" s="17" t="s">
        <v>14</v>
      </c>
      <c r="H114" s="17" t="s">
        <v>14</v>
      </c>
      <c r="I114" s="26">
        <f>IF(AND(F114="No", G114="Completed"), "Borrow Allowed", "Borrow Denied")</f>
      </c>
    </row>
    <row x14ac:dyDescent="0.25" r="115" customHeight="1" ht="18.75">
      <c r="A115" s="14">
        <v>114</v>
      </c>
      <c r="B115" s="8" t="s">
        <v>38</v>
      </c>
      <c r="C115" s="27"/>
      <c r="D115" s="17" t="s">
        <v>37</v>
      </c>
      <c r="E115" s="25">
        <v>14</v>
      </c>
      <c r="F115" s="17" t="s">
        <v>18</v>
      </c>
      <c r="G115" s="17" t="s">
        <v>14</v>
      </c>
      <c r="H115" s="17" t="s">
        <v>36</v>
      </c>
      <c r="I115" s="26">
        <f>IF(AND(F115="No", G115="Completed"), "Borrow Allowed", "Borrow Denied")</f>
      </c>
    </row>
    <row x14ac:dyDescent="0.25" r="116" customHeight="1" ht="18.75">
      <c r="A116" s="14">
        <v>115</v>
      </c>
      <c r="B116" s="8" t="s">
        <v>38</v>
      </c>
      <c r="C116" s="27"/>
      <c r="D116" s="17" t="s">
        <v>37</v>
      </c>
      <c r="E116" s="25">
        <v>14</v>
      </c>
      <c r="F116" s="17" t="s">
        <v>18</v>
      </c>
      <c r="G116" s="17" t="s">
        <v>36</v>
      </c>
      <c r="H116" s="17" t="s">
        <v>14</v>
      </c>
      <c r="I116" s="26">
        <f>IF(AND(F116="No", G116="Completed"), "Borrow Allowed", "Borrow Denied")</f>
      </c>
    </row>
    <row x14ac:dyDescent="0.25" r="117" customHeight="1" ht="18.75">
      <c r="A117" s="14">
        <v>116</v>
      </c>
      <c r="B117" s="8" t="s">
        <v>38</v>
      </c>
      <c r="C117" s="27"/>
      <c r="D117" s="17" t="s">
        <v>37</v>
      </c>
      <c r="E117" s="25">
        <v>14</v>
      </c>
      <c r="F117" s="17" t="s">
        <v>18</v>
      </c>
      <c r="G117" s="17" t="s">
        <v>36</v>
      </c>
      <c r="H117" s="17" t="s">
        <v>36</v>
      </c>
      <c r="I117" s="26">
        <f>IF(AND(F117="No", G117="Completed"), "Borrow Allowed", "Borrow Denied")</f>
      </c>
    </row>
    <row x14ac:dyDescent="0.25" r="118" customHeight="1" ht="18.75">
      <c r="A118" s="14">
        <v>117</v>
      </c>
      <c r="B118" s="8" t="s">
        <v>38</v>
      </c>
      <c r="C118" s="27"/>
      <c r="D118" s="17" t="s">
        <v>37</v>
      </c>
      <c r="E118" s="25">
        <v>14</v>
      </c>
      <c r="F118" s="17" t="s">
        <v>12</v>
      </c>
      <c r="G118" s="17" t="s">
        <v>14</v>
      </c>
      <c r="H118" s="17" t="s">
        <v>14</v>
      </c>
      <c r="I118" s="26">
        <f>IF(AND(F118="No", G118="Completed"), "Borrow Allowed", "Borrow Denied")</f>
      </c>
    </row>
    <row x14ac:dyDescent="0.25" r="119" customHeight="1" ht="18.75">
      <c r="A119" s="14">
        <v>118</v>
      </c>
      <c r="B119" s="8" t="s">
        <v>38</v>
      </c>
      <c r="C119" s="27"/>
      <c r="D119" s="17" t="s">
        <v>37</v>
      </c>
      <c r="E119" s="25">
        <v>14</v>
      </c>
      <c r="F119" s="17" t="s">
        <v>12</v>
      </c>
      <c r="G119" s="17" t="s">
        <v>14</v>
      </c>
      <c r="H119" s="17" t="s">
        <v>36</v>
      </c>
      <c r="I119" s="26">
        <f>IF(AND(F119="No", G119="Completed"), "Borrow Allowed", "Borrow Denied")</f>
      </c>
    </row>
    <row x14ac:dyDescent="0.25" r="120" customHeight="1" ht="18.75">
      <c r="A120" s="14">
        <v>119</v>
      </c>
      <c r="B120" s="8" t="s">
        <v>38</v>
      </c>
      <c r="C120" s="27"/>
      <c r="D120" s="17" t="s">
        <v>37</v>
      </c>
      <c r="E120" s="25">
        <v>14</v>
      </c>
      <c r="F120" s="17" t="s">
        <v>12</v>
      </c>
      <c r="G120" s="17" t="s">
        <v>36</v>
      </c>
      <c r="H120" s="17" t="s">
        <v>14</v>
      </c>
      <c r="I120" s="26">
        <f>IF(AND(F120="No", G120="Completed"), "Borrow Allowed", "Borrow Denied")</f>
      </c>
    </row>
    <row x14ac:dyDescent="0.25" r="121" customHeight="1" ht="18.75">
      <c r="A121" s="14">
        <v>120</v>
      </c>
      <c r="B121" s="8" t="s">
        <v>38</v>
      </c>
      <c r="C121" s="27"/>
      <c r="D121" s="6" t="s">
        <v>37</v>
      </c>
      <c r="E121" s="28">
        <v>14</v>
      </c>
      <c r="F121" s="6" t="s">
        <v>12</v>
      </c>
      <c r="G121" s="6" t="s">
        <v>36</v>
      </c>
      <c r="H121" s="6" t="s">
        <v>36</v>
      </c>
      <c r="I121" s="26">
        <f>IF(AND(F121="No", G121="Completed"), "Borrow Allowed", "Borrow Denied")</f>
      </c>
    </row>
    <row x14ac:dyDescent="0.25" r="122" customHeight="1" ht="18.75">
      <c r="A122" s="14">
        <v>121</v>
      </c>
      <c r="B122" s="8" t="s">
        <v>38</v>
      </c>
      <c r="C122" s="27"/>
      <c r="D122" s="17" t="s">
        <v>29</v>
      </c>
      <c r="E122" s="25">
        <v>2</v>
      </c>
      <c r="F122" s="17" t="s">
        <v>18</v>
      </c>
      <c r="G122" s="17" t="s">
        <v>14</v>
      </c>
      <c r="H122" s="17" t="s">
        <v>14</v>
      </c>
      <c r="I122" s="26">
        <f>IF(AND(F122="No", G122="Completed"), "Borrow Allowed", "Borrow Denied")</f>
      </c>
    </row>
    <row x14ac:dyDescent="0.25" r="123" customHeight="1" ht="18.75">
      <c r="A123" s="14">
        <v>122</v>
      </c>
      <c r="B123" s="8" t="s">
        <v>38</v>
      </c>
      <c r="C123" s="27"/>
      <c r="D123" s="17" t="s">
        <v>29</v>
      </c>
      <c r="E123" s="25">
        <v>2</v>
      </c>
      <c r="F123" s="17" t="s">
        <v>18</v>
      </c>
      <c r="G123" s="17" t="s">
        <v>14</v>
      </c>
      <c r="H123" s="17" t="s">
        <v>36</v>
      </c>
      <c r="I123" s="26">
        <f>IF(AND(F123="No", G123="Completed"), "Borrow Allowed", "Borrow Denied")</f>
      </c>
    </row>
    <row x14ac:dyDescent="0.25" r="124" customHeight="1" ht="18.75">
      <c r="A124" s="14">
        <v>123</v>
      </c>
      <c r="B124" s="8" t="s">
        <v>38</v>
      </c>
      <c r="C124" s="27"/>
      <c r="D124" s="17" t="s">
        <v>29</v>
      </c>
      <c r="E124" s="25">
        <v>2</v>
      </c>
      <c r="F124" s="17" t="s">
        <v>18</v>
      </c>
      <c r="G124" s="17" t="s">
        <v>36</v>
      </c>
      <c r="H124" s="17" t="s">
        <v>14</v>
      </c>
      <c r="I124" s="26">
        <f>IF(AND(F124="No", G124="Completed"), "Borrow Allowed", "Borrow Denied")</f>
      </c>
    </row>
    <row x14ac:dyDescent="0.25" r="125" customHeight="1" ht="18.75">
      <c r="A125" s="14">
        <v>124</v>
      </c>
      <c r="B125" s="8" t="s">
        <v>38</v>
      </c>
      <c r="C125" s="27"/>
      <c r="D125" s="17" t="s">
        <v>29</v>
      </c>
      <c r="E125" s="25">
        <v>2</v>
      </c>
      <c r="F125" s="17" t="s">
        <v>18</v>
      </c>
      <c r="G125" s="17" t="s">
        <v>36</v>
      </c>
      <c r="H125" s="17" t="s">
        <v>36</v>
      </c>
      <c r="I125" s="26">
        <f>IF(AND(F125="No", G125="Completed"), "Borrow Allowed", "Borrow Denied")</f>
      </c>
    </row>
    <row x14ac:dyDescent="0.25" r="126" customHeight="1" ht="18.75">
      <c r="A126" s="14">
        <v>125</v>
      </c>
      <c r="B126" s="8" t="s">
        <v>38</v>
      </c>
      <c r="C126" s="27"/>
      <c r="D126" s="17" t="s">
        <v>29</v>
      </c>
      <c r="E126" s="25">
        <v>2</v>
      </c>
      <c r="F126" s="17" t="s">
        <v>12</v>
      </c>
      <c r="G126" s="17" t="s">
        <v>14</v>
      </c>
      <c r="H126" s="17" t="s">
        <v>14</v>
      </c>
      <c r="I126" s="26">
        <f>IF(AND(F126="No", G126="Completed"), "Borrow Allowed", "Borrow Denied")</f>
      </c>
    </row>
    <row x14ac:dyDescent="0.25" r="127" customHeight="1" ht="18.75">
      <c r="A127" s="14">
        <v>126</v>
      </c>
      <c r="B127" s="8" t="s">
        <v>38</v>
      </c>
      <c r="C127" s="27"/>
      <c r="D127" s="17" t="s">
        <v>29</v>
      </c>
      <c r="E127" s="25">
        <v>2</v>
      </c>
      <c r="F127" s="17" t="s">
        <v>12</v>
      </c>
      <c r="G127" s="17" t="s">
        <v>14</v>
      </c>
      <c r="H127" s="17" t="s">
        <v>36</v>
      </c>
      <c r="I127" s="26">
        <f>IF(AND(F127="No", G127="Completed"), "Borrow Allowed", "Borrow Denied")</f>
      </c>
    </row>
    <row x14ac:dyDescent="0.25" r="128" customHeight="1" ht="18.75">
      <c r="A128" s="14">
        <v>127</v>
      </c>
      <c r="B128" s="8" t="s">
        <v>38</v>
      </c>
      <c r="C128" s="27"/>
      <c r="D128" s="17" t="s">
        <v>29</v>
      </c>
      <c r="E128" s="25">
        <v>2</v>
      </c>
      <c r="F128" s="17" t="s">
        <v>12</v>
      </c>
      <c r="G128" s="17" t="s">
        <v>36</v>
      </c>
      <c r="H128" s="17" t="s">
        <v>14</v>
      </c>
      <c r="I128" s="26">
        <f>IF(AND(F128="No", G128="Completed"), "Borrow Allowed", "Borrow Denied")</f>
      </c>
    </row>
    <row x14ac:dyDescent="0.25" r="129" customHeight="1" ht="18.75">
      <c r="A129" s="14">
        <v>128</v>
      </c>
      <c r="B129" s="8" t="s">
        <v>38</v>
      </c>
      <c r="C129" s="27"/>
      <c r="D129" s="17" t="s">
        <v>29</v>
      </c>
      <c r="E129" s="25">
        <v>2</v>
      </c>
      <c r="F129" s="17" t="s">
        <v>12</v>
      </c>
      <c r="G129" s="17" t="s">
        <v>36</v>
      </c>
      <c r="H129" s="17" t="s">
        <v>36</v>
      </c>
      <c r="I129" s="26">
        <f>IF(AND(F129="No", G129="Completed"), "Borrow Allowed", "Borrow Denied")</f>
      </c>
    </row>
    <row x14ac:dyDescent="0.25" r="130" customHeight="1" ht="18.75">
      <c r="A130" s="14">
        <v>129</v>
      </c>
      <c r="B130" s="8" t="s">
        <v>38</v>
      </c>
      <c r="C130" s="27"/>
      <c r="D130" s="17" t="s">
        <v>29</v>
      </c>
      <c r="E130" s="25">
        <v>7</v>
      </c>
      <c r="F130" s="17" t="s">
        <v>18</v>
      </c>
      <c r="G130" s="17" t="s">
        <v>14</v>
      </c>
      <c r="H130" s="17" t="s">
        <v>14</v>
      </c>
      <c r="I130" s="26">
        <f>IF(AND(F130="No", G130="Completed"), "Borrow Allowed", "Borrow Denied")</f>
      </c>
    </row>
    <row x14ac:dyDescent="0.25" r="131" customHeight="1" ht="18.75">
      <c r="A131" s="14">
        <v>130</v>
      </c>
      <c r="B131" s="8" t="s">
        <v>38</v>
      </c>
      <c r="C131" s="27"/>
      <c r="D131" s="17" t="s">
        <v>29</v>
      </c>
      <c r="E131" s="25">
        <v>7</v>
      </c>
      <c r="F131" s="17" t="s">
        <v>18</v>
      </c>
      <c r="G131" s="17" t="s">
        <v>14</v>
      </c>
      <c r="H131" s="17" t="s">
        <v>36</v>
      </c>
      <c r="I131" s="26">
        <f>IF(AND(F131="No", G131="Completed"), "Borrow Allowed", "Borrow Denied")</f>
      </c>
    </row>
    <row x14ac:dyDescent="0.25" r="132" customHeight="1" ht="18.75">
      <c r="A132" s="14">
        <v>131</v>
      </c>
      <c r="B132" s="8" t="s">
        <v>38</v>
      </c>
      <c r="C132" s="27"/>
      <c r="D132" s="17" t="s">
        <v>29</v>
      </c>
      <c r="E132" s="25">
        <v>7</v>
      </c>
      <c r="F132" s="17" t="s">
        <v>18</v>
      </c>
      <c r="G132" s="17" t="s">
        <v>36</v>
      </c>
      <c r="H132" s="17" t="s">
        <v>14</v>
      </c>
      <c r="I132" s="26">
        <f>IF(AND(F132="No", G132="Completed"), "Borrow Allowed", "Borrow Denied")</f>
      </c>
    </row>
    <row x14ac:dyDescent="0.25" r="133" customHeight="1" ht="18.75">
      <c r="A133" s="14">
        <v>132</v>
      </c>
      <c r="B133" s="8" t="s">
        <v>38</v>
      </c>
      <c r="C133" s="27"/>
      <c r="D133" s="17" t="s">
        <v>29</v>
      </c>
      <c r="E133" s="25">
        <v>7</v>
      </c>
      <c r="F133" s="17" t="s">
        <v>18</v>
      </c>
      <c r="G133" s="17" t="s">
        <v>36</v>
      </c>
      <c r="H133" s="17" t="s">
        <v>36</v>
      </c>
      <c r="I133" s="26">
        <f>IF(AND(F133="No", G133="Completed"), "Borrow Allowed", "Borrow Denied")</f>
      </c>
    </row>
    <row x14ac:dyDescent="0.25" r="134" customHeight="1" ht="18.75">
      <c r="A134" s="14">
        <v>133</v>
      </c>
      <c r="B134" s="8" t="s">
        <v>38</v>
      </c>
      <c r="C134" s="27"/>
      <c r="D134" s="17" t="s">
        <v>29</v>
      </c>
      <c r="E134" s="25">
        <v>7</v>
      </c>
      <c r="F134" s="17" t="s">
        <v>12</v>
      </c>
      <c r="G134" s="17" t="s">
        <v>14</v>
      </c>
      <c r="H134" s="17" t="s">
        <v>14</v>
      </c>
      <c r="I134" s="26">
        <f>IF(AND(F134="No", G134="Completed"), "Borrow Allowed", "Borrow Denied")</f>
      </c>
    </row>
    <row x14ac:dyDescent="0.25" r="135" customHeight="1" ht="18.75">
      <c r="A135" s="14">
        <v>134</v>
      </c>
      <c r="B135" s="8" t="s">
        <v>38</v>
      </c>
      <c r="C135" s="27"/>
      <c r="D135" s="17" t="s">
        <v>29</v>
      </c>
      <c r="E135" s="25">
        <v>7</v>
      </c>
      <c r="F135" s="17" t="s">
        <v>12</v>
      </c>
      <c r="G135" s="17" t="s">
        <v>14</v>
      </c>
      <c r="H135" s="17" t="s">
        <v>36</v>
      </c>
      <c r="I135" s="26">
        <f>IF(AND(F135="No", G135="Completed"), "Borrow Allowed", "Borrow Denied")</f>
      </c>
    </row>
    <row x14ac:dyDescent="0.25" r="136" customHeight="1" ht="18.75">
      <c r="A136" s="14">
        <v>135</v>
      </c>
      <c r="B136" s="8" t="s">
        <v>38</v>
      </c>
      <c r="C136" s="27"/>
      <c r="D136" s="17" t="s">
        <v>29</v>
      </c>
      <c r="E136" s="25">
        <v>7</v>
      </c>
      <c r="F136" s="17" t="s">
        <v>12</v>
      </c>
      <c r="G136" s="17" t="s">
        <v>36</v>
      </c>
      <c r="H136" s="17" t="s">
        <v>14</v>
      </c>
      <c r="I136" s="26">
        <f>IF(AND(F136="No", G136="Completed"), "Borrow Allowed", "Borrow Denied")</f>
      </c>
    </row>
    <row x14ac:dyDescent="0.25" r="137" customHeight="1" ht="18.75">
      <c r="A137" s="14">
        <v>136</v>
      </c>
      <c r="B137" s="8" t="s">
        <v>38</v>
      </c>
      <c r="C137" s="27"/>
      <c r="D137" s="17" t="s">
        <v>29</v>
      </c>
      <c r="E137" s="25">
        <v>7</v>
      </c>
      <c r="F137" s="17" t="s">
        <v>12</v>
      </c>
      <c r="G137" s="17" t="s">
        <v>36</v>
      </c>
      <c r="H137" s="17" t="s">
        <v>36</v>
      </c>
      <c r="I137" s="26">
        <f>IF(AND(F137="No", G137="Completed"), "Borrow Allowed", "Borrow Denied")</f>
      </c>
    </row>
    <row x14ac:dyDescent="0.25" r="138" customHeight="1" ht="18.75">
      <c r="A138" s="14">
        <v>137</v>
      </c>
      <c r="B138" s="8" t="s">
        <v>38</v>
      </c>
      <c r="C138" s="27"/>
      <c r="D138" s="17" t="s">
        <v>29</v>
      </c>
      <c r="E138" s="25">
        <v>14</v>
      </c>
      <c r="F138" s="17" t="s">
        <v>18</v>
      </c>
      <c r="G138" s="17" t="s">
        <v>14</v>
      </c>
      <c r="H138" s="17" t="s">
        <v>14</v>
      </c>
      <c r="I138" s="26">
        <f>IF(AND(F138="No", G138="Completed"), "Borrow Allowed", "Borrow Denied")</f>
      </c>
    </row>
    <row x14ac:dyDescent="0.25" r="139" customHeight="1" ht="18.75">
      <c r="A139" s="14">
        <v>138</v>
      </c>
      <c r="B139" s="8" t="s">
        <v>38</v>
      </c>
      <c r="C139" s="27"/>
      <c r="D139" s="17" t="s">
        <v>29</v>
      </c>
      <c r="E139" s="25">
        <v>14</v>
      </c>
      <c r="F139" s="17" t="s">
        <v>18</v>
      </c>
      <c r="G139" s="17" t="s">
        <v>14</v>
      </c>
      <c r="H139" s="17" t="s">
        <v>36</v>
      </c>
      <c r="I139" s="26">
        <f>IF(AND(F139="No", G139="Completed"), "Borrow Allowed", "Borrow Denied")</f>
      </c>
    </row>
    <row x14ac:dyDescent="0.25" r="140" customHeight="1" ht="18.75">
      <c r="A140" s="14">
        <v>139</v>
      </c>
      <c r="B140" s="8" t="s">
        <v>38</v>
      </c>
      <c r="C140" s="27"/>
      <c r="D140" s="17" t="s">
        <v>29</v>
      </c>
      <c r="E140" s="25">
        <v>14</v>
      </c>
      <c r="F140" s="17" t="s">
        <v>18</v>
      </c>
      <c r="G140" s="17" t="s">
        <v>36</v>
      </c>
      <c r="H140" s="17" t="s">
        <v>14</v>
      </c>
      <c r="I140" s="26">
        <f>IF(AND(F140="No", G140="Completed"), "Borrow Allowed", "Borrow Denied")</f>
      </c>
    </row>
    <row x14ac:dyDescent="0.25" r="141" customHeight="1" ht="18.75">
      <c r="A141" s="14">
        <v>140</v>
      </c>
      <c r="B141" s="8" t="s">
        <v>38</v>
      </c>
      <c r="C141" s="27"/>
      <c r="D141" s="17" t="s">
        <v>29</v>
      </c>
      <c r="E141" s="25">
        <v>14</v>
      </c>
      <c r="F141" s="17" t="s">
        <v>18</v>
      </c>
      <c r="G141" s="17" t="s">
        <v>36</v>
      </c>
      <c r="H141" s="17" t="s">
        <v>36</v>
      </c>
      <c r="I141" s="26">
        <f>IF(AND(F141="No", G141="Completed"), "Borrow Allowed", "Borrow Denied")</f>
      </c>
    </row>
    <row x14ac:dyDescent="0.25" r="142" customHeight="1" ht="18.75">
      <c r="A142" s="14">
        <v>141</v>
      </c>
      <c r="B142" s="8" t="s">
        <v>38</v>
      </c>
      <c r="C142" s="27"/>
      <c r="D142" s="17" t="s">
        <v>29</v>
      </c>
      <c r="E142" s="25">
        <v>14</v>
      </c>
      <c r="F142" s="17" t="s">
        <v>12</v>
      </c>
      <c r="G142" s="17" t="s">
        <v>14</v>
      </c>
      <c r="H142" s="17" t="s">
        <v>14</v>
      </c>
      <c r="I142" s="26">
        <f>IF(AND(F142="No", G142="Completed"), "Borrow Allowed", "Borrow Denied")</f>
      </c>
    </row>
    <row x14ac:dyDescent="0.25" r="143" customHeight="1" ht="18.75">
      <c r="A143" s="14">
        <v>142</v>
      </c>
      <c r="B143" s="8" t="s">
        <v>38</v>
      </c>
      <c r="C143" s="27"/>
      <c r="D143" s="17" t="s">
        <v>29</v>
      </c>
      <c r="E143" s="25">
        <v>14</v>
      </c>
      <c r="F143" s="17" t="s">
        <v>12</v>
      </c>
      <c r="G143" s="17" t="s">
        <v>14</v>
      </c>
      <c r="H143" s="17" t="s">
        <v>36</v>
      </c>
      <c r="I143" s="26">
        <f>IF(AND(F143="No", G143="Completed"), "Borrow Allowed", "Borrow Denied")</f>
      </c>
    </row>
    <row x14ac:dyDescent="0.25" r="144" customHeight="1" ht="18.75">
      <c r="A144" s="14">
        <v>143</v>
      </c>
      <c r="B144" s="8" t="s">
        <v>38</v>
      </c>
      <c r="C144" s="27"/>
      <c r="D144" s="17" t="s">
        <v>29</v>
      </c>
      <c r="E144" s="25">
        <v>14</v>
      </c>
      <c r="F144" s="17" t="s">
        <v>12</v>
      </c>
      <c r="G144" s="17" t="s">
        <v>36</v>
      </c>
      <c r="H144" s="17" t="s">
        <v>14</v>
      </c>
      <c r="I144" s="26">
        <f>IF(AND(F144="No", G144="Completed"), "Borrow Allowed", "Borrow Denied")</f>
      </c>
    </row>
    <row x14ac:dyDescent="0.25" r="145" customHeight="1" ht="18.75">
      <c r="A145" s="14">
        <v>144</v>
      </c>
      <c r="B145" s="8" t="s">
        <v>38</v>
      </c>
      <c r="C145" s="27"/>
      <c r="D145" s="6" t="s">
        <v>29</v>
      </c>
      <c r="E145" s="28">
        <v>14</v>
      </c>
      <c r="F145" s="6" t="s">
        <v>12</v>
      </c>
      <c r="G145" s="6" t="s">
        <v>36</v>
      </c>
      <c r="H145" s="6" t="s">
        <v>36</v>
      </c>
      <c r="I145" s="26">
        <f>IF(AND(F145="No", G145="Completed"), "Borrow Allowed", "Borrow Denied")</f>
      </c>
    </row>
    <row x14ac:dyDescent="0.25" r="146" customHeight="1" ht="18.75">
      <c r="A146" s="14">
        <v>145</v>
      </c>
      <c r="B146" s="29" t="s">
        <v>39</v>
      </c>
      <c r="C146" s="27"/>
      <c r="D146" s="17" t="s">
        <v>35</v>
      </c>
      <c r="E146" s="25">
        <v>2</v>
      </c>
      <c r="F146" s="17" t="s">
        <v>18</v>
      </c>
      <c r="G146" s="17" t="s">
        <v>14</v>
      </c>
      <c r="H146" s="17" t="s">
        <v>14</v>
      </c>
      <c r="I146" s="26">
        <f>IF(OR(D146="Under 18", F146="No", H146="Completed"), "Borrow Denied", "Borrow Allowed")</f>
      </c>
    </row>
    <row x14ac:dyDescent="0.25" r="147" customHeight="1" ht="18.75">
      <c r="A147" s="14">
        <v>146</v>
      </c>
      <c r="B147" s="29" t="s">
        <v>39</v>
      </c>
      <c r="C147" s="27"/>
      <c r="D147" s="17" t="s">
        <v>35</v>
      </c>
      <c r="E147" s="25">
        <v>2</v>
      </c>
      <c r="F147" s="17" t="s">
        <v>18</v>
      </c>
      <c r="G147" s="17" t="s">
        <v>14</v>
      </c>
      <c r="H147" s="17" t="s">
        <v>36</v>
      </c>
      <c r="I147" s="26">
        <f>IF(OR(D147="Under 18", F147="No", H147="Completed"), "Borrow Denied", "Borrow Allowed")</f>
      </c>
    </row>
    <row x14ac:dyDescent="0.25" r="148" customHeight="1" ht="18.75">
      <c r="A148" s="14">
        <v>147</v>
      </c>
      <c r="B148" s="29" t="s">
        <v>39</v>
      </c>
      <c r="C148" s="27"/>
      <c r="D148" s="17" t="s">
        <v>35</v>
      </c>
      <c r="E148" s="25">
        <v>2</v>
      </c>
      <c r="F148" s="17" t="s">
        <v>18</v>
      </c>
      <c r="G148" s="17" t="s">
        <v>36</v>
      </c>
      <c r="H148" s="17" t="s">
        <v>14</v>
      </c>
      <c r="I148" s="26">
        <f>IF(OR(D148="Under 18", F148="No", H148="Completed"), "Borrow Denied", "Borrow Allowed")</f>
      </c>
    </row>
    <row x14ac:dyDescent="0.25" r="149" customHeight="1" ht="18.75">
      <c r="A149" s="14">
        <v>148</v>
      </c>
      <c r="B149" s="29" t="s">
        <v>39</v>
      </c>
      <c r="C149" s="27"/>
      <c r="D149" s="17" t="s">
        <v>35</v>
      </c>
      <c r="E149" s="25">
        <v>2</v>
      </c>
      <c r="F149" s="17" t="s">
        <v>18</v>
      </c>
      <c r="G149" s="17" t="s">
        <v>36</v>
      </c>
      <c r="H149" s="17" t="s">
        <v>36</v>
      </c>
      <c r="I149" s="26">
        <f>IF(OR(D149="Under 18", F149="No", H149="Completed"), "Borrow Denied", "Borrow Allowed")</f>
      </c>
    </row>
    <row x14ac:dyDescent="0.25" r="150" customHeight="1" ht="18.75">
      <c r="A150" s="14">
        <v>149</v>
      </c>
      <c r="B150" s="29" t="s">
        <v>39</v>
      </c>
      <c r="C150" s="27"/>
      <c r="D150" s="17" t="s">
        <v>35</v>
      </c>
      <c r="E150" s="25">
        <v>2</v>
      </c>
      <c r="F150" s="17" t="s">
        <v>12</v>
      </c>
      <c r="G150" s="17" t="s">
        <v>14</v>
      </c>
      <c r="H150" s="17" t="s">
        <v>14</v>
      </c>
      <c r="I150" s="26">
        <f>IF(OR(D150="Under 18", F150="No", H150="Completed"), "Borrow Denied", "Borrow Allowed")</f>
      </c>
    </row>
    <row x14ac:dyDescent="0.25" r="151" customHeight="1" ht="18.75">
      <c r="A151" s="14">
        <v>150</v>
      </c>
      <c r="B151" s="29" t="s">
        <v>39</v>
      </c>
      <c r="C151" s="27"/>
      <c r="D151" s="17" t="s">
        <v>35</v>
      </c>
      <c r="E151" s="25">
        <v>2</v>
      </c>
      <c r="F151" s="17" t="s">
        <v>12</v>
      </c>
      <c r="G151" s="17" t="s">
        <v>14</v>
      </c>
      <c r="H151" s="17" t="s">
        <v>36</v>
      </c>
      <c r="I151" s="26">
        <f>IF(OR(D151="Under 18", F151="No", H151="Completed"), "Borrow Denied", "Borrow Allowed")</f>
      </c>
    </row>
    <row x14ac:dyDescent="0.25" r="152" customHeight="1" ht="18.75">
      <c r="A152" s="14">
        <v>151</v>
      </c>
      <c r="B152" s="29" t="s">
        <v>39</v>
      </c>
      <c r="C152" s="27"/>
      <c r="D152" s="17" t="s">
        <v>35</v>
      </c>
      <c r="E152" s="25">
        <v>2</v>
      </c>
      <c r="F152" s="17" t="s">
        <v>12</v>
      </c>
      <c r="G152" s="17" t="s">
        <v>36</v>
      </c>
      <c r="H152" s="17" t="s">
        <v>14</v>
      </c>
      <c r="I152" s="26">
        <f>IF(OR(D152="Under 18", F152="No", H152="Completed"), "Borrow Denied", "Borrow Allowed")</f>
      </c>
    </row>
    <row x14ac:dyDescent="0.25" r="153" customHeight="1" ht="18.75">
      <c r="A153" s="14">
        <v>152</v>
      </c>
      <c r="B153" s="29" t="s">
        <v>39</v>
      </c>
      <c r="C153" s="27"/>
      <c r="D153" s="17" t="s">
        <v>35</v>
      </c>
      <c r="E153" s="25">
        <v>2</v>
      </c>
      <c r="F153" s="17" t="s">
        <v>12</v>
      </c>
      <c r="G153" s="17" t="s">
        <v>36</v>
      </c>
      <c r="H153" s="17" t="s">
        <v>36</v>
      </c>
      <c r="I153" s="26">
        <f>IF(OR(D153="Under 18", F153="No", H153="Completed"), "Borrow Denied", "Borrow Allowed")</f>
      </c>
    </row>
    <row x14ac:dyDescent="0.25" r="154" customHeight="1" ht="18.75">
      <c r="A154" s="14">
        <v>153</v>
      </c>
      <c r="B154" s="29" t="s">
        <v>39</v>
      </c>
      <c r="C154" s="27"/>
      <c r="D154" s="17" t="s">
        <v>35</v>
      </c>
      <c r="E154" s="25">
        <v>7</v>
      </c>
      <c r="F154" s="17" t="s">
        <v>18</v>
      </c>
      <c r="G154" s="17" t="s">
        <v>14</v>
      </c>
      <c r="H154" s="17" t="s">
        <v>14</v>
      </c>
      <c r="I154" s="26">
        <f>IF(OR(D154="Under 18", F154="No", H154="Completed"), "Borrow Denied", "Borrow Allowed")</f>
      </c>
    </row>
    <row x14ac:dyDescent="0.25" r="155" customHeight="1" ht="18.75">
      <c r="A155" s="14">
        <v>154</v>
      </c>
      <c r="B155" s="29" t="s">
        <v>39</v>
      </c>
      <c r="C155" s="27"/>
      <c r="D155" s="17" t="s">
        <v>35</v>
      </c>
      <c r="E155" s="25">
        <v>7</v>
      </c>
      <c r="F155" s="17" t="s">
        <v>18</v>
      </c>
      <c r="G155" s="17" t="s">
        <v>14</v>
      </c>
      <c r="H155" s="17" t="s">
        <v>36</v>
      </c>
      <c r="I155" s="26">
        <f>IF(OR(D155="Under 18", F155="No", H155="Completed"), "Borrow Denied", "Borrow Allowed")</f>
      </c>
    </row>
    <row x14ac:dyDescent="0.25" r="156" customHeight="1" ht="18.75">
      <c r="A156" s="14">
        <v>155</v>
      </c>
      <c r="B156" s="29" t="s">
        <v>39</v>
      </c>
      <c r="C156" s="27"/>
      <c r="D156" s="17" t="s">
        <v>35</v>
      </c>
      <c r="E156" s="25">
        <v>7</v>
      </c>
      <c r="F156" s="17" t="s">
        <v>18</v>
      </c>
      <c r="G156" s="17" t="s">
        <v>36</v>
      </c>
      <c r="H156" s="17" t="s">
        <v>14</v>
      </c>
      <c r="I156" s="26">
        <f>IF(OR(D156="Under 18", F156="No", H156="Completed"), "Borrow Denied", "Borrow Allowed")</f>
      </c>
    </row>
    <row x14ac:dyDescent="0.25" r="157" customHeight="1" ht="18.75">
      <c r="A157" s="14">
        <v>156</v>
      </c>
      <c r="B157" s="29" t="s">
        <v>39</v>
      </c>
      <c r="C157" s="27"/>
      <c r="D157" s="17" t="s">
        <v>35</v>
      </c>
      <c r="E157" s="25">
        <v>7</v>
      </c>
      <c r="F157" s="17" t="s">
        <v>18</v>
      </c>
      <c r="G157" s="17" t="s">
        <v>36</v>
      </c>
      <c r="H157" s="17" t="s">
        <v>36</v>
      </c>
      <c r="I157" s="26">
        <f>IF(OR(D157="Under 18", F157="No", H157="Completed"), "Borrow Denied", "Borrow Allowed")</f>
      </c>
    </row>
    <row x14ac:dyDescent="0.25" r="158" customHeight="1" ht="18.75">
      <c r="A158" s="14">
        <v>157</v>
      </c>
      <c r="B158" s="29" t="s">
        <v>39</v>
      </c>
      <c r="C158" s="27"/>
      <c r="D158" s="17" t="s">
        <v>35</v>
      </c>
      <c r="E158" s="25">
        <v>7</v>
      </c>
      <c r="F158" s="17" t="s">
        <v>12</v>
      </c>
      <c r="G158" s="17" t="s">
        <v>14</v>
      </c>
      <c r="H158" s="17" t="s">
        <v>14</v>
      </c>
      <c r="I158" s="26">
        <f>IF(OR(D158="Under 18", F158="No", H158="Completed"), "Borrow Denied", "Borrow Allowed")</f>
      </c>
    </row>
    <row x14ac:dyDescent="0.25" r="159" customHeight="1" ht="18.75">
      <c r="A159" s="14">
        <v>158</v>
      </c>
      <c r="B159" s="29" t="s">
        <v>39</v>
      </c>
      <c r="C159" s="27"/>
      <c r="D159" s="17" t="s">
        <v>35</v>
      </c>
      <c r="E159" s="25">
        <v>7</v>
      </c>
      <c r="F159" s="17" t="s">
        <v>12</v>
      </c>
      <c r="G159" s="17" t="s">
        <v>14</v>
      </c>
      <c r="H159" s="17" t="s">
        <v>36</v>
      </c>
      <c r="I159" s="26">
        <f>IF(OR(D159="Under 18", F159="No", H159="Completed"), "Borrow Denied", "Borrow Allowed")</f>
      </c>
    </row>
    <row x14ac:dyDescent="0.25" r="160" customHeight="1" ht="18.75">
      <c r="A160" s="14">
        <v>159</v>
      </c>
      <c r="B160" s="29" t="s">
        <v>39</v>
      </c>
      <c r="C160" s="27"/>
      <c r="D160" s="17" t="s">
        <v>35</v>
      </c>
      <c r="E160" s="25">
        <v>7</v>
      </c>
      <c r="F160" s="17" t="s">
        <v>12</v>
      </c>
      <c r="G160" s="17" t="s">
        <v>36</v>
      </c>
      <c r="H160" s="17" t="s">
        <v>14</v>
      </c>
      <c r="I160" s="26">
        <f>IF(OR(D160="Under 18", F160="No", H160="Completed"), "Borrow Denied", "Borrow Allowed")</f>
      </c>
    </row>
    <row x14ac:dyDescent="0.25" r="161" customHeight="1" ht="18.75">
      <c r="A161" s="14">
        <v>160</v>
      </c>
      <c r="B161" s="29" t="s">
        <v>39</v>
      </c>
      <c r="C161" s="27"/>
      <c r="D161" s="17" t="s">
        <v>35</v>
      </c>
      <c r="E161" s="25">
        <v>7</v>
      </c>
      <c r="F161" s="17" t="s">
        <v>12</v>
      </c>
      <c r="G161" s="17" t="s">
        <v>36</v>
      </c>
      <c r="H161" s="17" t="s">
        <v>36</v>
      </c>
      <c r="I161" s="26">
        <f>IF(OR(D161="Under 18", F161="No", H161="Completed"), "Borrow Denied", "Borrow Allowed")</f>
      </c>
    </row>
    <row x14ac:dyDescent="0.25" r="162" customHeight="1" ht="18.75">
      <c r="A162" s="14">
        <v>161</v>
      </c>
      <c r="B162" s="29" t="s">
        <v>39</v>
      </c>
      <c r="C162" s="27"/>
      <c r="D162" s="17" t="s">
        <v>35</v>
      </c>
      <c r="E162" s="25">
        <v>14</v>
      </c>
      <c r="F162" s="17" t="s">
        <v>18</v>
      </c>
      <c r="G162" s="17" t="s">
        <v>14</v>
      </c>
      <c r="H162" s="17" t="s">
        <v>14</v>
      </c>
      <c r="I162" s="26">
        <f>IF(OR(D162="Under 18", F162="No", H162="Completed"), "Borrow Denied", "Borrow Allowed")</f>
      </c>
    </row>
    <row x14ac:dyDescent="0.25" r="163" customHeight="1" ht="18.75">
      <c r="A163" s="14">
        <v>162</v>
      </c>
      <c r="B163" s="29" t="s">
        <v>39</v>
      </c>
      <c r="C163" s="27"/>
      <c r="D163" s="17" t="s">
        <v>35</v>
      </c>
      <c r="E163" s="25">
        <v>14</v>
      </c>
      <c r="F163" s="17" t="s">
        <v>18</v>
      </c>
      <c r="G163" s="17" t="s">
        <v>14</v>
      </c>
      <c r="H163" s="17" t="s">
        <v>36</v>
      </c>
      <c r="I163" s="26">
        <f>IF(OR(D163="Under 18", F163="No", H163="Completed"), "Borrow Denied", "Borrow Allowed")</f>
      </c>
    </row>
    <row x14ac:dyDescent="0.25" r="164" customHeight="1" ht="18.75">
      <c r="A164" s="14">
        <v>163</v>
      </c>
      <c r="B164" s="29" t="s">
        <v>39</v>
      </c>
      <c r="C164" s="27"/>
      <c r="D164" s="17" t="s">
        <v>35</v>
      </c>
      <c r="E164" s="25">
        <v>14</v>
      </c>
      <c r="F164" s="17" t="s">
        <v>18</v>
      </c>
      <c r="G164" s="17" t="s">
        <v>36</v>
      </c>
      <c r="H164" s="17" t="s">
        <v>14</v>
      </c>
      <c r="I164" s="26">
        <f>IF(OR(D164="Under 18", F164="No", H164="Completed"), "Borrow Denied", "Borrow Allowed")</f>
      </c>
    </row>
    <row x14ac:dyDescent="0.25" r="165" customHeight="1" ht="18.75">
      <c r="A165" s="14">
        <v>164</v>
      </c>
      <c r="B165" s="29" t="s">
        <v>39</v>
      </c>
      <c r="C165" s="27"/>
      <c r="D165" s="17" t="s">
        <v>35</v>
      </c>
      <c r="E165" s="25">
        <v>14</v>
      </c>
      <c r="F165" s="17" t="s">
        <v>18</v>
      </c>
      <c r="G165" s="17" t="s">
        <v>36</v>
      </c>
      <c r="H165" s="17" t="s">
        <v>36</v>
      </c>
      <c r="I165" s="26">
        <f>IF(OR(D165="Under 18", F165="No", H165="Completed"), "Borrow Denied", "Borrow Allowed")</f>
      </c>
    </row>
    <row x14ac:dyDescent="0.25" r="166" customHeight="1" ht="18.75">
      <c r="A166" s="14">
        <v>165</v>
      </c>
      <c r="B166" s="29" t="s">
        <v>39</v>
      </c>
      <c r="C166" s="27"/>
      <c r="D166" s="17" t="s">
        <v>35</v>
      </c>
      <c r="E166" s="25">
        <v>14</v>
      </c>
      <c r="F166" s="17" t="s">
        <v>12</v>
      </c>
      <c r="G166" s="17" t="s">
        <v>14</v>
      </c>
      <c r="H166" s="17" t="s">
        <v>14</v>
      </c>
      <c r="I166" s="26">
        <f>IF(OR(D166="Under 18", F166="No", H166="Completed"), "Borrow Denied", "Borrow Allowed")</f>
      </c>
    </row>
    <row x14ac:dyDescent="0.25" r="167" customHeight="1" ht="18.75">
      <c r="A167" s="14">
        <v>166</v>
      </c>
      <c r="B167" s="29" t="s">
        <v>39</v>
      </c>
      <c r="C167" s="27"/>
      <c r="D167" s="17" t="s">
        <v>35</v>
      </c>
      <c r="E167" s="25">
        <v>14</v>
      </c>
      <c r="F167" s="17" t="s">
        <v>12</v>
      </c>
      <c r="G167" s="17" t="s">
        <v>14</v>
      </c>
      <c r="H167" s="17" t="s">
        <v>36</v>
      </c>
      <c r="I167" s="26">
        <f>IF(OR(D167="Under 18", F167="No", H167="Completed"), "Borrow Denied", "Borrow Allowed")</f>
      </c>
    </row>
    <row x14ac:dyDescent="0.25" r="168" customHeight="1" ht="18.75">
      <c r="A168" s="14">
        <v>167</v>
      </c>
      <c r="B168" s="29" t="s">
        <v>39</v>
      </c>
      <c r="C168" s="27"/>
      <c r="D168" s="17" t="s">
        <v>35</v>
      </c>
      <c r="E168" s="25">
        <v>14</v>
      </c>
      <c r="F168" s="17" t="s">
        <v>12</v>
      </c>
      <c r="G168" s="17" t="s">
        <v>36</v>
      </c>
      <c r="H168" s="17" t="s">
        <v>14</v>
      </c>
      <c r="I168" s="26">
        <f>IF(OR(D168="Under 18", F168="No", H168="Completed"), "Borrow Denied", "Borrow Allowed")</f>
      </c>
    </row>
    <row x14ac:dyDescent="0.25" r="169" customHeight="1" ht="18.75">
      <c r="A169" s="14">
        <v>168</v>
      </c>
      <c r="B169" s="29" t="s">
        <v>39</v>
      </c>
      <c r="C169" s="27"/>
      <c r="D169" s="6" t="s">
        <v>35</v>
      </c>
      <c r="E169" s="28">
        <v>14</v>
      </c>
      <c r="F169" s="6" t="s">
        <v>12</v>
      </c>
      <c r="G169" s="6" t="s">
        <v>36</v>
      </c>
      <c r="H169" s="6" t="s">
        <v>36</v>
      </c>
      <c r="I169" s="26">
        <f>IF(OR(D169="Under 18", F169="No", H169="Completed"), "Borrow Denied", "Borrow Allowed")</f>
      </c>
    </row>
    <row x14ac:dyDescent="0.25" r="170" customHeight="1" ht="18.75">
      <c r="A170" s="14">
        <v>169</v>
      </c>
      <c r="B170" s="29" t="s">
        <v>39</v>
      </c>
      <c r="C170" s="27"/>
      <c r="D170" s="17" t="s">
        <v>37</v>
      </c>
      <c r="E170" s="25">
        <v>2</v>
      </c>
      <c r="F170" s="17" t="s">
        <v>18</v>
      </c>
      <c r="G170" s="17" t="s">
        <v>14</v>
      </c>
      <c r="H170" s="17" t="s">
        <v>14</v>
      </c>
      <c r="I170" s="26">
        <f>IF(AND(F170="No", H170="Completed"), "Borrow Allowed", "Borrow Denied")</f>
      </c>
    </row>
    <row x14ac:dyDescent="0.25" r="171" customHeight="1" ht="18.75">
      <c r="A171" s="14">
        <v>170</v>
      </c>
      <c r="B171" s="29" t="s">
        <v>39</v>
      </c>
      <c r="C171" s="27"/>
      <c r="D171" s="17" t="s">
        <v>37</v>
      </c>
      <c r="E171" s="25">
        <v>2</v>
      </c>
      <c r="F171" s="17" t="s">
        <v>18</v>
      </c>
      <c r="G171" s="17" t="s">
        <v>14</v>
      </c>
      <c r="H171" s="17" t="s">
        <v>36</v>
      </c>
      <c r="I171" s="26">
        <f>IF(AND(F171="No", H171="Completed"), "Borrow Allowed", "Borrow Denied")</f>
      </c>
    </row>
    <row x14ac:dyDescent="0.25" r="172" customHeight="1" ht="18.75">
      <c r="A172" s="14">
        <v>171</v>
      </c>
      <c r="B172" s="29" t="s">
        <v>39</v>
      </c>
      <c r="C172" s="27"/>
      <c r="D172" s="17" t="s">
        <v>37</v>
      </c>
      <c r="E172" s="25">
        <v>2</v>
      </c>
      <c r="F172" s="17" t="s">
        <v>18</v>
      </c>
      <c r="G172" s="17" t="s">
        <v>36</v>
      </c>
      <c r="H172" s="17" t="s">
        <v>14</v>
      </c>
      <c r="I172" s="26">
        <f>IF(AND(F172="No", H172="Completed"), "Borrow Allowed", "Borrow Denied")</f>
      </c>
    </row>
    <row x14ac:dyDescent="0.25" r="173" customHeight="1" ht="18.75">
      <c r="A173" s="14">
        <v>172</v>
      </c>
      <c r="B173" s="29" t="s">
        <v>39</v>
      </c>
      <c r="C173" s="27"/>
      <c r="D173" s="17" t="s">
        <v>37</v>
      </c>
      <c r="E173" s="25">
        <v>2</v>
      </c>
      <c r="F173" s="17" t="s">
        <v>18</v>
      </c>
      <c r="G173" s="17" t="s">
        <v>36</v>
      </c>
      <c r="H173" s="17" t="s">
        <v>36</v>
      </c>
      <c r="I173" s="26">
        <f>IF(AND(F173="No", H173="Completed"), "Borrow Allowed", "Borrow Denied")</f>
      </c>
    </row>
    <row x14ac:dyDescent="0.25" r="174" customHeight="1" ht="18.75">
      <c r="A174" s="14">
        <v>173</v>
      </c>
      <c r="B174" s="29" t="s">
        <v>39</v>
      </c>
      <c r="C174" s="27"/>
      <c r="D174" s="17" t="s">
        <v>37</v>
      </c>
      <c r="E174" s="25">
        <v>2</v>
      </c>
      <c r="F174" s="17" t="s">
        <v>12</v>
      </c>
      <c r="G174" s="17" t="s">
        <v>14</v>
      </c>
      <c r="H174" s="17" t="s">
        <v>14</v>
      </c>
      <c r="I174" s="26">
        <f>IF(AND(F174="No", H174="Completed"), "Borrow Allowed", "Borrow Denied")</f>
      </c>
    </row>
    <row x14ac:dyDescent="0.25" r="175" customHeight="1" ht="18.75">
      <c r="A175" s="14">
        <v>174</v>
      </c>
      <c r="B175" s="29" t="s">
        <v>39</v>
      </c>
      <c r="C175" s="27"/>
      <c r="D175" s="17" t="s">
        <v>37</v>
      </c>
      <c r="E175" s="25">
        <v>2</v>
      </c>
      <c r="F175" s="17" t="s">
        <v>12</v>
      </c>
      <c r="G175" s="17" t="s">
        <v>14</v>
      </c>
      <c r="H175" s="17" t="s">
        <v>36</v>
      </c>
      <c r="I175" s="26">
        <f>IF(AND(F175="No", H175="Completed"), "Borrow Allowed", "Borrow Denied")</f>
      </c>
    </row>
    <row x14ac:dyDescent="0.25" r="176" customHeight="1" ht="18.75">
      <c r="A176" s="14">
        <v>175</v>
      </c>
      <c r="B176" s="29" t="s">
        <v>39</v>
      </c>
      <c r="C176" s="27"/>
      <c r="D176" s="17" t="s">
        <v>37</v>
      </c>
      <c r="E176" s="25">
        <v>2</v>
      </c>
      <c r="F176" s="17" t="s">
        <v>12</v>
      </c>
      <c r="G176" s="17" t="s">
        <v>36</v>
      </c>
      <c r="H176" s="17" t="s">
        <v>14</v>
      </c>
      <c r="I176" s="26">
        <f>IF(AND(F176="No", H176="Completed"), "Borrow Allowed", "Borrow Denied")</f>
      </c>
    </row>
    <row x14ac:dyDescent="0.25" r="177" customHeight="1" ht="18.75">
      <c r="A177" s="14">
        <v>176</v>
      </c>
      <c r="B177" s="29" t="s">
        <v>39</v>
      </c>
      <c r="C177" s="27"/>
      <c r="D177" s="17" t="s">
        <v>37</v>
      </c>
      <c r="E177" s="25">
        <v>2</v>
      </c>
      <c r="F177" s="17" t="s">
        <v>12</v>
      </c>
      <c r="G177" s="17" t="s">
        <v>36</v>
      </c>
      <c r="H177" s="17" t="s">
        <v>36</v>
      </c>
      <c r="I177" s="26">
        <f>IF(AND(F177="No", H177="Completed"), "Borrow Allowed", "Borrow Denied")</f>
      </c>
    </row>
    <row x14ac:dyDescent="0.25" r="178" customHeight="1" ht="18.75">
      <c r="A178" s="14">
        <v>177</v>
      </c>
      <c r="B178" s="29" t="s">
        <v>39</v>
      </c>
      <c r="C178" s="27"/>
      <c r="D178" s="17" t="s">
        <v>37</v>
      </c>
      <c r="E178" s="25">
        <v>7</v>
      </c>
      <c r="F178" s="17" t="s">
        <v>18</v>
      </c>
      <c r="G178" s="17" t="s">
        <v>14</v>
      </c>
      <c r="H178" s="17" t="s">
        <v>14</v>
      </c>
      <c r="I178" s="26">
        <f>IF(AND(F178="No", H178="Completed"), "Borrow Allowed", "Borrow Denied")</f>
      </c>
    </row>
    <row x14ac:dyDescent="0.25" r="179" customHeight="1" ht="18.75">
      <c r="A179" s="14">
        <v>178</v>
      </c>
      <c r="B179" s="29" t="s">
        <v>39</v>
      </c>
      <c r="C179" s="27"/>
      <c r="D179" s="17" t="s">
        <v>37</v>
      </c>
      <c r="E179" s="25">
        <v>7</v>
      </c>
      <c r="F179" s="17" t="s">
        <v>18</v>
      </c>
      <c r="G179" s="17" t="s">
        <v>14</v>
      </c>
      <c r="H179" s="17" t="s">
        <v>36</v>
      </c>
      <c r="I179" s="26">
        <f>IF(AND(F179="No", H179="Completed"), "Borrow Allowed", "Borrow Denied")</f>
      </c>
    </row>
    <row x14ac:dyDescent="0.25" r="180" customHeight="1" ht="18.75">
      <c r="A180" s="14">
        <v>179</v>
      </c>
      <c r="B180" s="29" t="s">
        <v>39</v>
      </c>
      <c r="C180" s="27"/>
      <c r="D180" s="17" t="s">
        <v>37</v>
      </c>
      <c r="E180" s="25">
        <v>7</v>
      </c>
      <c r="F180" s="17" t="s">
        <v>18</v>
      </c>
      <c r="G180" s="17" t="s">
        <v>36</v>
      </c>
      <c r="H180" s="17" t="s">
        <v>14</v>
      </c>
      <c r="I180" s="26">
        <f>IF(AND(F180="No", H180="Completed"), "Borrow Allowed", "Borrow Denied")</f>
      </c>
    </row>
    <row x14ac:dyDescent="0.25" r="181" customHeight="1" ht="18.75">
      <c r="A181" s="14">
        <v>180</v>
      </c>
      <c r="B181" s="29" t="s">
        <v>39</v>
      </c>
      <c r="C181" s="27"/>
      <c r="D181" s="17" t="s">
        <v>37</v>
      </c>
      <c r="E181" s="25">
        <v>7</v>
      </c>
      <c r="F181" s="17" t="s">
        <v>18</v>
      </c>
      <c r="G181" s="17" t="s">
        <v>36</v>
      </c>
      <c r="H181" s="17" t="s">
        <v>36</v>
      </c>
      <c r="I181" s="26">
        <f>IF(AND(F181="No", H181="Completed"), "Borrow Allowed", "Borrow Denied")</f>
      </c>
    </row>
    <row x14ac:dyDescent="0.25" r="182" customHeight="1" ht="18.75">
      <c r="A182" s="14">
        <v>181</v>
      </c>
      <c r="B182" s="29" t="s">
        <v>39</v>
      </c>
      <c r="C182" s="27"/>
      <c r="D182" s="17" t="s">
        <v>37</v>
      </c>
      <c r="E182" s="25">
        <v>7</v>
      </c>
      <c r="F182" s="17" t="s">
        <v>12</v>
      </c>
      <c r="G182" s="17" t="s">
        <v>14</v>
      </c>
      <c r="H182" s="17" t="s">
        <v>14</v>
      </c>
      <c r="I182" s="26">
        <f>IF(AND(F182="No", H182="Completed"), "Borrow Allowed", "Borrow Denied")</f>
      </c>
    </row>
    <row x14ac:dyDescent="0.25" r="183" customHeight="1" ht="18.75">
      <c r="A183" s="14">
        <v>182</v>
      </c>
      <c r="B183" s="29" t="s">
        <v>39</v>
      </c>
      <c r="C183" s="27"/>
      <c r="D183" s="17" t="s">
        <v>37</v>
      </c>
      <c r="E183" s="25">
        <v>7</v>
      </c>
      <c r="F183" s="17" t="s">
        <v>12</v>
      </c>
      <c r="G183" s="17" t="s">
        <v>14</v>
      </c>
      <c r="H183" s="17" t="s">
        <v>36</v>
      </c>
      <c r="I183" s="26">
        <f>IF(AND(F183="No", H183="Completed"), "Borrow Allowed", "Borrow Denied")</f>
      </c>
    </row>
    <row x14ac:dyDescent="0.25" r="184" customHeight="1" ht="18.75">
      <c r="A184" s="14">
        <v>183</v>
      </c>
      <c r="B184" s="29" t="s">
        <v>39</v>
      </c>
      <c r="C184" s="27"/>
      <c r="D184" s="17" t="s">
        <v>37</v>
      </c>
      <c r="E184" s="25">
        <v>7</v>
      </c>
      <c r="F184" s="17" t="s">
        <v>12</v>
      </c>
      <c r="G184" s="17" t="s">
        <v>36</v>
      </c>
      <c r="H184" s="17" t="s">
        <v>14</v>
      </c>
      <c r="I184" s="26">
        <f>IF(AND(F184="No", H184="Completed"), "Borrow Allowed", "Borrow Denied")</f>
      </c>
    </row>
    <row x14ac:dyDescent="0.25" r="185" customHeight="1" ht="18.75">
      <c r="A185" s="14">
        <v>184</v>
      </c>
      <c r="B185" s="29" t="s">
        <v>39</v>
      </c>
      <c r="C185" s="27"/>
      <c r="D185" s="17" t="s">
        <v>37</v>
      </c>
      <c r="E185" s="25">
        <v>7</v>
      </c>
      <c r="F185" s="17" t="s">
        <v>12</v>
      </c>
      <c r="G185" s="17" t="s">
        <v>36</v>
      </c>
      <c r="H185" s="17" t="s">
        <v>36</v>
      </c>
      <c r="I185" s="26">
        <f>IF(AND(F185="No", H185="Completed"), "Borrow Allowed", "Borrow Denied")</f>
      </c>
    </row>
    <row x14ac:dyDescent="0.25" r="186" customHeight="1" ht="18.75">
      <c r="A186" s="14">
        <v>185</v>
      </c>
      <c r="B186" s="29" t="s">
        <v>39</v>
      </c>
      <c r="C186" s="27"/>
      <c r="D186" s="17" t="s">
        <v>37</v>
      </c>
      <c r="E186" s="25">
        <v>14</v>
      </c>
      <c r="F186" s="17" t="s">
        <v>18</v>
      </c>
      <c r="G186" s="17" t="s">
        <v>14</v>
      </c>
      <c r="H186" s="17" t="s">
        <v>14</v>
      </c>
      <c r="I186" s="26">
        <f>IF(AND(F186="No", H186="Completed"), "Borrow Allowed", "Borrow Denied")</f>
      </c>
    </row>
    <row x14ac:dyDescent="0.25" r="187" customHeight="1" ht="18.75">
      <c r="A187" s="14">
        <v>186</v>
      </c>
      <c r="B187" s="29" t="s">
        <v>39</v>
      </c>
      <c r="C187" s="27"/>
      <c r="D187" s="17" t="s">
        <v>37</v>
      </c>
      <c r="E187" s="25">
        <v>14</v>
      </c>
      <c r="F187" s="17" t="s">
        <v>18</v>
      </c>
      <c r="G187" s="17" t="s">
        <v>14</v>
      </c>
      <c r="H187" s="17" t="s">
        <v>36</v>
      </c>
      <c r="I187" s="26">
        <f>IF(AND(F187="No", H187="Completed"), "Borrow Allowed", "Borrow Denied")</f>
      </c>
    </row>
    <row x14ac:dyDescent="0.25" r="188" customHeight="1" ht="18.75">
      <c r="A188" s="14">
        <v>187</v>
      </c>
      <c r="B188" s="29" t="s">
        <v>39</v>
      </c>
      <c r="C188" s="27"/>
      <c r="D188" s="17" t="s">
        <v>37</v>
      </c>
      <c r="E188" s="25">
        <v>14</v>
      </c>
      <c r="F188" s="17" t="s">
        <v>18</v>
      </c>
      <c r="G188" s="17" t="s">
        <v>36</v>
      </c>
      <c r="H188" s="17" t="s">
        <v>14</v>
      </c>
      <c r="I188" s="26">
        <f>IF(AND(F188="No", H188="Completed"), "Borrow Allowed", "Borrow Denied")</f>
      </c>
    </row>
    <row x14ac:dyDescent="0.25" r="189" customHeight="1" ht="18.75">
      <c r="A189" s="14">
        <v>188</v>
      </c>
      <c r="B189" s="29" t="s">
        <v>39</v>
      </c>
      <c r="C189" s="27"/>
      <c r="D189" s="17" t="s">
        <v>37</v>
      </c>
      <c r="E189" s="25">
        <v>14</v>
      </c>
      <c r="F189" s="17" t="s">
        <v>18</v>
      </c>
      <c r="G189" s="17" t="s">
        <v>36</v>
      </c>
      <c r="H189" s="17" t="s">
        <v>36</v>
      </c>
      <c r="I189" s="26">
        <f>IF(AND(F189="No", H189="Completed"), "Borrow Allowed", "Borrow Denied")</f>
      </c>
    </row>
    <row x14ac:dyDescent="0.25" r="190" customHeight="1" ht="18.75">
      <c r="A190" s="14">
        <v>189</v>
      </c>
      <c r="B190" s="29" t="s">
        <v>39</v>
      </c>
      <c r="C190" s="27"/>
      <c r="D190" s="17" t="s">
        <v>37</v>
      </c>
      <c r="E190" s="25">
        <v>14</v>
      </c>
      <c r="F190" s="17" t="s">
        <v>12</v>
      </c>
      <c r="G190" s="17" t="s">
        <v>14</v>
      </c>
      <c r="H190" s="17" t="s">
        <v>14</v>
      </c>
      <c r="I190" s="26">
        <f>IF(AND(F190="No", H190="Completed"), "Borrow Allowed", "Borrow Denied")</f>
      </c>
    </row>
    <row x14ac:dyDescent="0.25" r="191" customHeight="1" ht="18.75">
      <c r="A191" s="14">
        <v>190</v>
      </c>
      <c r="B191" s="29" t="s">
        <v>39</v>
      </c>
      <c r="C191" s="27"/>
      <c r="D191" s="17" t="s">
        <v>37</v>
      </c>
      <c r="E191" s="25">
        <v>14</v>
      </c>
      <c r="F191" s="17" t="s">
        <v>12</v>
      </c>
      <c r="G191" s="17" t="s">
        <v>14</v>
      </c>
      <c r="H191" s="17" t="s">
        <v>36</v>
      </c>
      <c r="I191" s="26">
        <f>IF(AND(F191="No", H191="Completed"), "Borrow Allowed", "Borrow Denied")</f>
      </c>
    </row>
    <row x14ac:dyDescent="0.25" r="192" customHeight="1" ht="18.75">
      <c r="A192" s="14">
        <v>191</v>
      </c>
      <c r="B192" s="29" t="s">
        <v>39</v>
      </c>
      <c r="C192" s="27"/>
      <c r="D192" s="17" t="s">
        <v>37</v>
      </c>
      <c r="E192" s="25">
        <v>14</v>
      </c>
      <c r="F192" s="17" t="s">
        <v>12</v>
      </c>
      <c r="G192" s="17" t="s">
        <v>36</v>
      </c>
      <c r="H192" s="17" t="s">
        <v>14</v>
      </c>
      <c r="I192" s="26">
        <f>IF(AND(F192="No", H192="Completed"), "Borrow Allowed", "Borrow Denied")</f>
      </c>
    </row>
    <row x14ac:dyDescent="0.25" r="193" customHeight="1" ht="18.75">
      <c r="A193" s="14">
        <v>192</v>
      </c>
      <c r="B193" s="29" t="s">
        <v>39</v>
      </c>
      <c r="C193" s="27"/>
      <c r="D193" s="6" t="s">
        <v>37</v>
      </c>
      <c r="E193" s="28">
        <v>14</v>
      </c>
      <c r="F193" s="6" t="s">
        <v>12</v>
      </c>
      <c r="G193" s="6" t="s">
        <v>36</v>
      </c>
      <c r="H193" s="6" t="s">
        <v>36</v>
      </c>
      <c r="I193" s="26">
        <f>IF(AND(F193="No", H193="Completed"), "Borrow Allowed", "Borrow Denied")</f>
      </c>
    </row>
    <row x14ac:dyDescent="0.25" r="194" customHeight="1" ht="18.75">
      <c r="A194" s="14">
        <v>193</v>
      </c>
      <c r="B194" s="29" t="s">
        <v>39</v>
      </c>
      <c r="C194" s="27"/>
      <c r="D194" s="17" t="s">
        <v>29</v>
      </c>
      <c r="E194" s="25">
        <v>2</v>
      </c>
      <c r="F194" s="17" t="s">
        <v>18</v>
      </c>
      <c r="G194" s="17" t="s">
        <v>14</v>
      </c>
      <c r="H194" s="17" t="s">
        <v>14</v>
      </c>
      <c r="I194" s="26">
        <f>IF(AND(B194="Carpentry Tool", D194 = "Above 90"), "Borrow Denied", "Borrow Allowed")</f>
      </c>
    </row>
    <row x14ac:dyDescent="0.25" r="195" customHeight="1" ht="18.75">
      <c r="A195" s="14">
        <v>194</v>
      </c>
      <c r="B195" s="29" t="s">
        <v>39</v>
      </c>
      <c r="C195" s="27"/>
      <c r="D195" s="17" t="s">
        <v>29</v>
      </c>
      <c r="E195" s="25">
        <v>2</v>
      </c>
      <c r="F195" s="17" t="s">
        <v>18</v>
      </c>
      <c r="G195" s="17" t="s">
        <v>14</v>
      </c>
      <c r="H195" s="17" t="s">
        <v>36</v>
      </c>
      <c r="I195" s="26">
        <f>IF(AND(B195="Carpentry Tool", D195 = "Above 90"), "Borrow Denied", "Borrow Allowed")</f>
      </c>
    </row>
    <row x14ac:dyDescent="0.25" r="196" customHeight="1" ht="18.75">
      <c r="A196" s="14">
        <v>195</v>
      </c>
      <c r="B196" s="29" t="s">
        <v>39</v>
      </c>
      <c r="C196" s="27"/>
      <c r="D196" s="17" t="s">
        <v>29</v>
      </c>
      <c r="E196" s="25">
        <v>2</v>
      </c>
      <c r="F196" s="17" t="s">
        <v>18</v>
      </c>
      <c r="G196" s="17" t="s">
        <v>36</v>
      </c>
      <c r="H196" s="17" t="s">
        <v>14</v>
      </c>
      <c r="I196" s="26">
        <f>IF(AND(B196="Carpentry Tool", D196 = "Above 90"), "Borrow Denied", "Borrow Allowed")</f>
      </c>
    </row>
    <row x14ac:dyDescent="0.25" r="197" customHeight="1" ht="18.75">
      <c r="A197" s="14">
        <v>196</v>
      </c>
      <c r="B197" s="29" t="s">
        <v>39</v>
      </c>
      <c r="C197" s="27"/>
      <c r="D197" s="17" t="s">
        <v>29</v>
      </c>
      <c r="E197" s="25">
        <v>2</v>
      </c>
      <c r="F197" s="17" t="s">
        <v>18</v>
      </c>
      <c r="G197" s="17" t="s">
        <v>36</v>
      </c>
      <c r="H197" s="17" t="s">
        <v>36</v>
      </c>
      <c r="I197" s="26">
        <f>IF(AND(B197="Carpentry Tool", D197 = "Above 90"), "Borrow Denied", "Borrow Allowed")</f>
      </c>
    </row>
    <row x14ac:dyDescent="0.25" r="198" customHeight="1" ht="18.75">
      <c r="A198" s="14">
        <v>197</v>
      </c>
      <c r="B198" s="29" t="s">
        <v>39</v>
      </c>
      <c r="C198" s="27"/>
      <c r="D198" s="17" t="s">
        <v>29</v>
      </c>
      <c r="E198" s="25">
        <v>2</v>
      </c>
      <c r="F198" s="17" t="s">
        <v>12</v>
      </c>
      <c r="G198" s="17" t="s">
        <v>14</v>
      </c>
      <c r="H198" s="17" t="s">
        <v>14</v>
      </c>
      <c r="I198" s="26">
        <f>IF(AND(B198="Carpentry Tool", D198 = "Above 90"), "Borrow Denied", "Borrow Allowed")</f>
      </c>
    </row>
    <row x14ac:dyDescent="0.25" r="199" customHeight="1" ht="18.75">
      <c r="A199" s="14">
        <v>198</v>
      </c>
      <c r="B199" s="29" t="s">
        <v>39</v>
      </c>
      <c r="C199" s="27"/>
      <c r="D199" s="17" t="s">
        <v>29</v>
      </c>
      <c r="E199" s="25">
        <v>2</v>
      </c>
      <c r="F199" s="17" t="s">
        <v>12</v>
      </c>
      <c r="G199" s="17" t="s">
        <v>14</v>
      </c>
      <c r="H199" s="17" t="s">
        <v>36</v>
      </c>
      <c r="I199" s="26">
        <f>IF(AND(B199="Carpentry Tool", D199 = "Above 90"), "Borrow Denied", "Borrow Allowed")</f>
      </c>
    </row>
    <row x14ac:dyDescent="0.25" r="200" customHeight="1" ht="18.75">
      <c r="A200" s="14">
        <v>199</v>
      </c>
      <c r="B200" s="29" t="s">
        <v>39</v>
      </c>
      <c r="C200" s="27"/>
      <c r="D200" s="17" t="s">
        <v>29</v>
      </c>
      <c r="E200" s="25">
        <v>2</v>
      </c>
      <c r="F200" s="17" t="s">
        <v>12</v>
      </c>
      <c r="G200" s="17" t="s">
        <v>36</v>
      </c>
      <c r="H200" s="17" t="s">
        <v>14</v>
      </c>
      <c r="I200" s="26">
        <f>IF(AND(B200="Carpentry Tool", D200 = "Above 90"), "Borrow Denied", "Borrow Allowed")</f>
      </c>
    </row>
    <row x14ac:dyDescent="0.25" r="201" customHeight="1" ht="18.75">
      <c r="A201" s="14">
        <v>200</v>
      </c>
      <c r="B201" s="29" t="s">
        <v>39</v>
      </c>
      <c r="C201" s="27"/>
      <c r="D201" s="17" t="s">
        <v>29</v>
      </c>
      <c r="E201" s="25">
        <v>2</v>
      </c>
      <c r="F201" s="17" t="s">
        <v>12</v>
      </c>
      <c r="G201" s="17" t="s">
        <v>36</v>
      </c>
      <c r="H201" s="17" t="s">
        <v>36</v>
      </c>
      <c r="I201" s="26">
        <f>IF(AND(B201="Carpentry Tool", D201 = "Above 90"), "Borrow Denied", "Borrow Allowed")</f>
      </c>
    </row>
    <row x14ac:dyDescent="0.25" r="202" customHeight="1" ht="18.75">
      <c r="A202" s="14">
        <v>201</v>
      </c>
      <c r="B202" s="29" t="s">
        <v>39</v>
      </c>
      <c r="C202" s="27"/>
      <c r="D202" s="17" t="s">
        <v>29</v>
      </c>
      <c r="E202" s="25">
        <v>7</v>
      </c>
      <c r="F202" s="17" t="s">
        <v>18</v>
      </c>
      <c r="G202" s="17" t="s">
        <v>14</v>
      </c>
      <c r="H202" s="17" t="s">
        <v>14</v>
      </c>
      <c r="I202" s="26">
        <f>IF(AND(B202="Carpentry Tool", D202 = "Above 90"), "Borrow Denied", "Borrow Allowed")</f>
      </c>
    </row>
    <row x14ac:dyDescent="0.25" r="203" customHeight="1" ht="18.75">
      <c r="A203" s="14">
        <v>202</v>
      </c>
      <c r="B203" s="29" t="s">
        <v>39</v>
      </c>
      <c r="C203" s="27"/>
      <c r="D203" s="17" t="s">
        <v>29</v>
      </c>
      <c r="E203" s="25">
        <v>7</v>
      </c>
      <c r="F203" s="17" t="s">
        <v>18</v>
      </c>
      <c r="G203" s="17" t="s">
        <v>14</v>
      </c>
      <c r="H203" s="17" t="s">
        <v>36</v>
      </c>
      <c r="I203" s="26">
        <f>IF(AND(B203="Carpentry Tool", D203 = "Above 90"), "Borrow Denied", "Borrow Allowed")</f>
      </c>
    </row>
    <row x14ac:dyDescent="0.25" r="204" customHeight="1" ht="18.75">
      <c r="A204" s="14">
        <v>203</v>
      </c>
      <c r="B204" s="29" t="s">
        <v>39</v>
      </c>
      <c r="C204" s="27"/>
      <c r="D204" s="17" t="s">
        <v>29</v>
      </c>
      <c r="E204" s="25">
        <v>7</v>
      </c>
      <c r="F204" s="17" t="s">
        <v>18</v>
      </c>
      <c r="G204" s="17" t="s">
        <v>36</v>
      </c>
      <c r="H204" s="17" t="s">
        <v>14</v>
      </c>
      <c r="I204" s="26">
        <f>IF(AND(B204="Carpentry Tool", D204 = "Above 90"), "Borrow Denied", "Borrow Allowed")</f>
      </c>
    </row>
    <row x14ac:dyDescent="0.25" r="205" customHeight="1" ht="18.75">
      <c r="A205" s="14">
        <v>204</v>
      </c>
      <c r="B205" s="29" t="s">
        <v>39</v>
      </c>
      <c r="C205" s="27"/>
      <c r="D205" s="17" t="s">
        <v>29</v>
      </c>
      <c r="E205" s="25">
        <v>7</v>
      </c>
      <c r="F205" s="17" t="s">
        <v>18</v>
      </c>
      <c r="G205" s="17" t="s">
        <v>36</v>
      </c>
      <c r="H205" s="17" t="s">
        <v>36</v>
      </c>
      <c r="I205" s="26">
        <f>IF(AND(B205="Carpentry Tool", D205 = "Above 90"), "Borrow Denied", "Borrow Allowed")</f>
      </c>
    </row>
    <row x14ac:dyDescent="0.25" r="206" customHeight="1" ht="18.75">
      <c r="A206" s="14">
        <v>205</v>
      </c>
      <c r="B206" s="29" t="s">
        <v>39</v>
      </c>
      <c r="C206" s="27"/>
      <c r="D206" s="17" t="s">
        <v>29</v>
      </c>
      <c r="E206" s="25">
        <v>7</v>
      </c>
      <c r="F206" s="17" t="s">
        <v>12</v>
      </c>
      <c r="G206" s="17" t="s">
        <v>14</v>
      </c>
      <c r="H206" s="17" t="s">
        <v>14</v>
      </c>
      <c r="I206" s="26">
        <f>IF(AND(B206="Carpentry Tool", D206 = "Above 90"), "Borrow Denied", "Borrow Allowed")</f>
      </c>
    </row>
    <row x14ac:dyDescent="0.25" r="207" customHeight="1" ht="18.75">
      <c r="A207" s="14">
        <v>206</v>
      </c>
      <c r="B207" s="29" t="s">
        <v>39</v>
      </c>
      <c r="C207" s="27"/>
      <c r="D207" s="17" t="s">
        <v>29</v>
      </c>
      <c r="E207" s="25">
        <v>7</v>
      </c>
      <c r="F207" s="17" t="s">
        <v>12</v>
      </c>
      <c r="G207" s="17" t="s">
        <v>14</v>
      </c>
      <c r="H207" s="17" t="s">
        <v>36</v>
      </c>
      <c r="I207" s="26">
        <f>IF(AND(B207="Carpentry Tool", D207 = "Above 90"), "Borrow Denied", "Borrow Allowed")</f>
      </c>
    </row>
    <row x14ac:dyDescent="0.25" r="208" customHeight="1" ht="18.75">
      <c r="A208" s="14">
        <v>207</v>
      </c>
      <c r="B208" s="29" t="s">
        <v>39</v>
      </c>
      <c r="C208" s="27"/>
      <c r="D208" s="17" t="s">
        <v>29</v>
      </c>
      <c r="E208" s="25">
        <v>7</v>
      </c>
      <c r="F208" s="17" t="s">
        <v>12</v>
      </c>
      <c r="G208" s="17" t="s">
        <v>36</v>
      </c>
      <c r="H208" s="17" t="s">
        <v>14</v>
      </c>
      <c r="I208" s="26">
        <f>IF(AND(B208="Carpentry Tool", D208 = "Above 90"), "Borrow Denied", "Borrow Allowed")</f>
      </c>
    </row>
    <row x14ac:dyDescent="0.25" r="209" customHeight="1" ht="18.75">
      <c r="A209" s="14">
        <v>208</v>
      </c>
      <c r="B209" s="29" t="s">
        <v>39</v>
      </c>
      <c r="C209" s="27"/>
      <c r="D209" s="17" t="s">
        <v>29</v>
      </c>
      <c r="E209" s="25">
        <v>7</v>
      </c>
      <c r="F209" s="17" t="s">
        <v>12</v>
      </c>
      <c r="G209" s="17" t="s">
        <v>36</v>
      </c>
      <c r="H209" s="17" t="s">
        <v>36</v>
      </c>
      <c r="I209" s="26">
        <f>IF(AND(B209="Carpentry Tool", D209 = "Above 90"), "Borrow Denied", "Borrow Allowed")</f>
      </c>
    </row>
    <row x14ac:dyDescent="0.25" r="210" customHeight="1" ht="18.75">
      <c r="A210" s="14">
        <v>209</v>
      </c>
      <c r="B210" s="29" t="s">
        <v>39</v>
      </c>
      <c r="C210" s="27"/>
      <c r="D210" s="17" t="s">
        <v>29</v>
      </c>
      <c r="E210" s="25">
        <v>14</v>
      </c>
      <c r="F210" s="17" t="s">
        <v>18</v>
      </c>
      <c r="G210" s="17" t="s">
        <v>14</v>
      </c>
      <c r="H210" s="17" t="s">
        <v>14</v>
      </c>
      <c r="I210" s="26">
        <f>IF(AND(B210="Carpentry Tool", D210 = "Above 90"), "Borrow Denied", "Borrow Allowed")</f>
      </c>
    </row>
    <row x14ac:dyDescent="0.25" r="211" customHeight="1" ht="18.75">
      <c r="A211" s="14">
        <v>210</v>
      </c>
      <c r="B211" s="29" t="s">
        <v>39</v>
      </c>
      <c r="C211" s="27"/>
      <c r="D211" s="17" t="s">
        <v>29</v>
      </c>
      <c r="E211" s="25">
        <v>14</v>
      </c>
      <c r="F211" s="17" t="s">
        <v>18</v>
      </c>
      <c r="G211" s="17" t="s">
        <v>14</v>
      </c>
      <c r="H211" s="17" t="s">
        <v>36</v>
      </c>
      <c r="I211" s="26">
        <f>IF(AND(B211="Carpentry Tool", D211 = "Above 90"), "Borrow Denied", "Borrow Allowed")</f>
      </c>
    </row>
    <row x14ac:dyDescent="0.25" r="212" customHeight="1" ht="18.75">
      <c r="A212" s="14">
        <v>211</v>
      </c>
      <c r="B212" s="29" t="s">
        <v>39</v>
      </c>
      <c r="C212" s="27"/>
      <c r="D212" s="17" t="s">
        <v>29</v>
      </c>
      <c r="E212" s="25">
        <v>14</v>
      </c>
      <c r="F212" s="17" t="s">
        <v>18</v>
      </c>
      <c r="G212" s="17" t="s">
        <v>36</v>
      </c>
      <c r="H212" s="17" t="s">
        <v>14</v>
      </c>
      <c r="I212" s="26">
        <f>IF(AND(B212="Carpentry Tool", D212 = "Above 90"), "Borrow Denied", "Borrow Allowed")</f>
      </c>
    </row>
    <row x14ac:dyDescent="0.25" r="213" customHeight="1" ht="18.75">
      <c r="A213" s="14">
        <v>212</v>
      </c>
      <c r="B213" s="29" t="s">
        <v>39</v>
      </c>
      <c r="C213" s="27"/>
      <c r="D213" s="17" t="s">
        <v>29</v>
      </c>
      <c r="E213" s="25">
        <v>14</v>
      </c>
      <c r="F213" s="17" t="s">
        <v>18</v>
      </c>
      <c r="G213" s="17" t="s">
        <v>36</v>
      </c>
      <c r="H213" s="17" t="s">
        <v>36</v>
      </c>
      <c r="I213" s="26">
        <f>IF(AND(B213="Carpentry Tool", D213 = "Above 90"), "Borrow Denied", "Borrow Allowed")</f>
      </c>
    </row>
    <row x14ac:dyDescent="0.25" r="214" customHeight="1" ht="18.75">
      <c r="A214" s="14">
        <v>213</v>
      </c>
      <c r="B214" s="29" t="s">
        <v>39</v>
      </c>
      <c r="C214" s="27"/>
      <c r="D214" s="17" t="s">
        <v>29</v>
      </c>
      <c r="E214" s="25">
        <v>14</v>
      </c>
      <c r="F214" s="17" t="s">
        <v>12</v>
      </c>
      <c r="G214" s="17" t="s">
        <v>14</v>
      </c>
      <c r="H214" s="17" t="s">
        <v>14</v>
      </c>
      <c r="I214" s="26">
        <f>IF(AND(B214="Carpentry Tool", D214 = "Above 90"), "Borrow Denied", "Borrow Allowed")</f>
      </c>
    </row>
    <row x14ac:dyDescent="0.25" r="215" customHeight="1" ht="18.75">
      <c r="A215" s="14">
        <v>214</v>
      </c>
      <c r="B215" s="29" t="s">
        <v>39</v>
      </c>
      <c r="C215" s="27"/>
      <c r="D215" s="17" t="s">
        <v>29</v>
      </c>
      <c r="E215" s="25">
        <v>14</v>
      </c>
      <c r="F215" s="17" t="s">
        <v>12</v>
      </c>
      <c r="G215" s="17" t="s">
        <v>14</v>
      </c>
      <c r="H215" s="17" t="s">
        <v>36</v>
      </c>
      <c r="I215" s="26">
        <f>IF(AND(B215="Carpentry Tool", D215 = "Above 90"), "Borrow Denied", "Borrow Allowed")</f>
      </c>
    </row>
    <row x14ac:dyDescent="0.25" r="216" customHeight="1" ht="18.75">
      <c r="A216" s="14">
        <v>215</v>
      </c>
      <c r="B216" s="29" t="s">
        <v>39</v>
      </c>
      <c r="C216" s="27"/>
      <c r="D216" s="17" t="s">
        <v>29</v>
      </c>
      <c r="E216" s="25">
        <v>14</v>
      </c>
      <c r="F216" s="17" t="s">
        <v>12</v>
      </c>
      <c r="G216" s="17" t="s">
        <v>36</v>
      </c>
      <c r="H216" s="17" t="s">
        <v>14</v>
      </c>
      <c r="I216" s="26">
        <f>IF(AND(B216="Carpentry Tool", D216 = "Above 90"), "Borrow Denied", "Borrow Allowed")</f>
      </c>
    </row>
    <row x14ac:dyDescent="0.25" r="217" customHeight="1" ht="18.75">
      <c r="A217" s="14">
        <v>216</v>
      </c>
      <c r="B217" s="29" t="s">
        <v>39</v>
      </c>
      <c r="C217" s="30"/>
      <c r="D217" s="6" t="s">
        <v>29</v>
      </c>
      <c r="E217" s="28">
        <v>14</v>
      </c>
      <c r="F217" s="6" t="s">
        <v>12</v>
      </c>
      <c r="G217" s="6" t="s">
        <v>36</v>
      </c>
      <c r="H217" s="6" t="s">
        <v>36</v>
      </c>
      <c r="I217" s="26">
        <f>IF(AND(B217="Carpentry Tool", D217 = "Above 90"), "Borrow Denied", "Borrow Allowed")</f>
      </c>
    </row>
  </sheetData>
  <mergeCells count="1">
    <mergeCell ref="C2:C2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11" width="13.576428571428572" customWidth="1" bestFit="1"/>
    <col min="2" max="2" style="20" width="12.862142857142858" customWidth="1" bestFit="1"/>
    <col min="3" max="3" style="21" width="12.862142857142858" customWidth="1" bestFit="1"/>
    <col min="4" max="4" style="12" width="11.005" customWidth="1" bestFit="1"/>
    <col min="5" max="5" style="11" width="13.576428571428572" customWidth="1" bestFit="1"/>
  </cols>
  <sheetData>
    <row x14ac:dyDescent="0.25" r="1" customHeight="1" ht="43.5" customFormat="1" s="13">
      <c r="A1" s="3" t="s">
        <v>0</v>
      </c>
      <c r="B1" s="4" t="s">
        <v>23</v>
      </c>
      <c r="C1" s="3" t="s">
        <v>3</v>
      </c>
      <c r="D1" s="4" t="s">
        <v>2</v>
      </c>
      <c r="E1" s="3" t="s">
        <v>24</v>
      </c>
    </row>
    <row x14ac:dyDescent="0.25" r="2" customHeight="1" ht="18.75">
      <c r="A2" s="14">
        <v>1</v>
      </c>
      <c r="B2" s="15" t="s">
        <v>25</v>
      </c>
      <c r="C2" s="16">
        <v>38</v>
      </c>
      <c r="D2" s="17" t="s">
        <v>26</v>
      </c>
      <c r="E2" s="14">
        <v>0</v>
      </c>
    </row>
    <row x14ac:dyDescent="0.25" r="3" customHeight="1" ht="18.75">
      <c r="A3" s="14">
        <v>2</v>
      </c>
      <c r="B3" s="18"/>
      <c r="C3" s="16">
        <v>50</v>
      </c>
      <c r="D3" s="17" t="s">
        <v>27</v>
      </c>
      <c r="E3" s="14">
        <v>0</v>
      </c>
    </row>
    <row x14ac:dyDescent="0.25" r="4" customHeight="1" ht="18.75">
      <c r="A4" s="14">
        <v>3</v>
      </c>
      <c r="B4" s="18"/>
      <c r="C4" s="16">
        <v>51</v>
      </c>
      <c r="D4" s="17" t="s">
        <v>27</v>
      </c>
      <c r="E4" s="14">
        <v>10</v>
      </c>
    </row>
    <row x14ac:dyDescent="0.25" r="5" customHeight="1" ht="18.75">
      <c r="A5" s="14">
        <v>4</v>
      </c>
      <c r="B5" s="18"/>
      <c r="C5" s="16">
        <v>52</v>
      </c>
      <c r="D5" s="17" t="s">
        <v>27</v>
      </c>
      <c r="E5" s="14">
        <v>10</v>
      </c>
    </row>
    <row x14ac:dyDescent="0.25" r="6" customHeight="1" ht="18.75">
      <c r="A6" s="14">
        <v>5</v>
      </c>
      <c r="B6" s="18"/>
      <c r="C6" s="16">
        <v>58</v>
      </c>
      <c r="D6" s="17" t="s">
        <v>27</v>
      </c>
      <c r="E6" s="14">
        <v>10</v>
      </c>
    </row>
    <row x14ac:dyDescent="0.25" r="7" customHeight="1" ht="18.75">
      <c r="A7" s="14">
        <v>6</v>
      </c>
      <c r="B7" s="18"/>
      <c r="C7" s="16">
        <v>64</v>
      </c>
      <c r="D7" s="17" t="s">
        <v>27</v>
      </c>
      <c r="E7" s="14">
        <v>10</v>
      </c>
    </row>
    <row x14ac:dyDescent="0.25" r="8" customHeight="1" ht="18.75">
      <c r="A8" s="14">
        <v>7</v>
      </c>
      <c r="B8" s="18"/>
      <c r="C8" s="16">
        <v>65</v>
      </c>
      <c r="D8" s="17" t="s">
        <v>28</v>
      </c>
      <c r="E8" s="14">
        <v>15</v>
      </c>
    </row>
    <row x14ac:dyDescent="0.25" r="9" customHeight="1" ht="18.75">
      <c r="A9" s="14">
        <v>8</v>
      </c>
      <c r="B9" s="18"/>
      <c r="C9" s="16">
        <v>66</v>
      </c>
      <c r="D9" s="17" t="s">
        <v>28</v>
      </c>
      <c r="E9" s="14">
        <v>15</v>
      </c>
    </row>
    <row x14ac:dyDescent="0.25" r="10" customHeight="1" ht="18.75">
      <c r="A10" s="14">
        <v>9</v>
      </c>
      <c r="B10" s="18"/>
      <c r="C10" s="16">
        <v>78</v>
      </c>
      <c r="D10" s="17" t="s">
        <v>28</v>
      </c>
      <c r="E10" s="14">
        <v>15</v>
      </c>
    </row>
    <row x14ac:dyDescent="0.25" r="11" customHeight="1" ht="18.75">
      <c r="A11" s="14">
        <v>10</v>
      </c>
      <c r="B11" s="18"/>
      <c r="C11" s="16">
        <v>89</v>
      </c>
      <c r="D11" s="17" t="s">
        <v>28</v>
      </c>
      <c r="E11" s="14">
        <v>15</v>
      </c>
    </row>
    <row x14ac:dyDescent="0.25" r="12" customHeight="1" ht="18.75">
      <c r="A12" s="14">
        <v>11</v>
      </c>
      <c r="B12" s="18"/>
      <c r="C12" s="16">
        <v>90</v>
      </c>
      <c r="D12" s="17" t="s">
        <v>29</v>
      </c>
      <c r="E12" s="14">
        <v>100</v>
      </c>
    </row>
    <row x14ac:dyDescent="0.25" r="13" customHeight="1" ht="18.75">
      <c r="A13" s="14">
        <v>12</v>
      </c>
      <c r="B13" s="18"/>
      <c r="C13" s="16">
        <v>91</v>
      </c>
      <c r="D13" s="17" t="s">
        <v>29</v>
      </c>
      <c r="E13" s="14">
        <v>100</v>
      </c>
    </row>
    <row x14ac:dyDescent="0.25" r="14" customHeight="1" ht="18.75">
      <c r="A14" s="14">
        <v>13</v>
      </c>
      <c r="B14" s="18"/>
      <c r="C14" s="19">
        <v>98</v>
      </c>
      <c r="D14" s="17" t="s">
        <v>29</v>
      </c>
      <c r="E14" s="14">
        <v>100</v>
      </c>
    </row>
  </sheetData>
  <mergeCells count="1">
    <mergeCell ref="B2:B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4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9.576428571428572" customWidth="1" bestFit="1"/>
    <col min="3" max="3" style="12" width="10.43357142857143" customWidth="1" bestFit="1"/>
    <col min="4" max="4" style="11" width="10.43357142857143" customWidth="1" bestFit="1"/>
    <col min="5" max="5" style="11" width="10.43357142857143" customWidth="1" bestFit="1"/>
    <col min="6" max="6" style="12" width="10.43357142857143" customWidth="1" bestFit="1"/>
    <col min="7" max="7" style="12" width="16.576428571428572" customWidth="1" bestFit="1"/>
    <col min="8" max="8" style="12" width="16.14785714285714" customWidth="1" bestFit="1"/>
    <col min="9" max="9" style="11" width="13.576428571428572" customWidth="1" bestFit="1"/>
    <col min="10" max="10" style="12" width="14.290714285714287" customWidth="1" bestFit="1"/>
  </cols>
  <sheetData>
    <row x14ac:dyDescent="0.25" r="1" customHeight="1" ht="34.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</row>
    <row x14ac:dyDescent="0.25" r="2" customHeight="1" ht="18.75">
      <c r="A2" s="5">
        <v>1</v>
      </c>
      <c r="B2" s="6" t="s">
        <v>10</v>
      </c>
      <c r="C2" s="6" t="s">
        <v>11</v>
      </c>
      <c r="D2" s="5">
        <v>18</v>
      </c>
      <c r="E2" s="5">
        <v>2</v>
      </c>
      <c r="F2" s="6" t="s">
        <v>12</v>
      </c>
      <c r="G2" s="6" t="s">
        <v>13</v>
      </c>
      <c r="H2" s="6" t="s">
        <v>14</v>
      </c>
      <c r="I2" s="5">
        <v>0</v>
      </c>
      <c r="J2" s="6" t="s">
        <v>15</v>
      </c>
    </row>
    <row x14ac:dyDescent="0.25" r="3" customHeight="1" ht="18.75">
      <c r="A3" s="7">
        <v>2</v>
      </c>
      <c r="B3" s="8" t="s">
        <v>16</v>
      </c>
      <c r="C3" s="8" t="s">
        <v>17</v>
      </c>
      <c r="D3" s="7">
        <v>99</v>
      </c>
      <c r="E3" s="7">
        <v>7</v>
      </c>
      <c r="F3" s="8" t="s">
        <v>18</v>
      </c>
      <c r="G3" s="8" t="s">
        <v>19</v>
      </c>
      <c r="H3" s="8" t="s">
        <v>14</v>
      </c>
      <c r="I3" s="7">
        <v>100</v>
      </c>
      <c r="J3" s="8" t="s">
        <v>15</v>
      </c>
    </row>
    <row x14ac:dyDescent="0.25" r="4" customHeight="1" ht="18.75">
      <c r="A4" s="9">
        <v>3</v>
      </c>
      <c r="B4" s="10" t="s">
        <v>16</v>
      </c>
      <c r="C4" s="10" t="s">
        <v>20</v>
      </c>
      <c r="D4" s="9">
        <v>17</v>
      </c>
      <c r="E4" s="9">
        <v>14</v>
      </c>
      <c r="F4" s="10" t="s">
        <v>12</v>
      </c>
      <c r="G4" s="10" t="s">
        <v>14</v>
      </c>
      <c r="H4" s="10" t="s">
        <v>13</v>
      </c>
      <c r="I4" s="9">
        <v>0</v>
      </c>
      <c r="J4" s="10" t="s">
        <v>15</v>
      </c>
    </row>
    <row x14ac:dyDescent="0.25" r="5" customHeight="1" ht="18.75">
      <c r="A5" s="9">
        <v>4</v>
      </c>
      <c r="B5" s="10" t="s">
        <v>21</v>
      </c>
      <c r="C5" s="10" t="s">
        <v>20</v>
      </c>
      <c r="D5" s="9">
        <v>13</v>
      </c>
      <c r="E5" s="9">
        <v>7</v>
      </c>
      <c r="F5" s="10" t="s">
        <v>18</v>
      </c>
      <c r="G5" s="10" t="s">
        <v>13</v>
      </c>
      <c r="H5" s="10" t="s">
        <v>13</v>
      </c>
      <c r="I5" s="9">
        <v>0</v>
      </c>
      <c r="J5" s="10" t="s">
        <v>15</v>
      </c>
    </row>
    <row x14ac:dyDescent="0.25" r="6" customHeight="1" ht="18.75">
      <c r="A6" s="7">
        <v>5</v>
      </c>
      <c r="B6" s="8" t="s">
        <v>10</v>
      </c>
      <c r="C6" s="8" t="s">
        <v>17</v>
      </c>
      <c r="D6" s="7">
        <v>90</v>
      </c>
      <c r="E6" s="7">
        <v>14</v>
      </c>
      <c r="F6" s="8" t="s">
        <v>12</v>
      </c>
      <c r="G6" s="8" t="s">
        <v>13</v>
      </c>
      <c r="H6" s="8" t="s">
        <v>13</v>
      </c>
      <c r="I6" s="7">
        <v>100</v>
      </c>
      <c r="J6" s="8" t="s">
        <v>15</v>
      </c>
    </row>
    <row x14ac:dyDescent="0.25" r="7" customHeight="1" ht="18.75">
      <c r="A7" s="7">
        <v>6</v>
      </c>
      <c r="B7" s="8" t="s">
        <v>21</v>
      </c>
      <c r="C7" s="8" t="s">
        <v>17</v>
      </c>
      <c r="D7" s="7">
        <v>91</v>
      </c>
      <c r="E7" s="7">
        <v>2</v>
      </c>
      <c r="F7" s="8" t="s">
        <v>18</v>
      </c>
      <c r="G7" s="8" t="s">
        <v>14</v>
      </c>
      <c r="H7" s="8" t="s">
        <v>13</v>
      </c>
      <c r="I7" s="7">
        <v>100</v>
      </c>
      <c r="J7" s="8" t="s">
        <v>22</v>
      </c>
    </row>
    <row x14ac:dyDescent="0.25" r="8" customHeight="1" ht="18.75">
      <c r="A8" s="7">
        <v>7</v>
      </c>
      <c r="B8" s="8" t="s">
        <v>10</v>
      </c>
      <c r="C8" s="8" t="s">
        <v>17</v>
      </c>
      <c r="D8" s="7">
        <v>93</v>
      </c>
      <c r="E8" s="7">
        <v>7</v>
      </c>
      <c r="F8" s="8" t="s">
        <v>12</v>
      </c>
      <c r="G8" s="8" t="s">
        <v>13</v>
      </c>
      <c r="H8" s="8" t="s">
        <v>13</v>
      </c>
      <c r="I8" s="7">
        <v>100</v>
      </c>
      <c r="J8" s="8" t="s">
        <v>15</v>
      </c>
    </row>
    <row x14ac:dyDescent="0.25" r="9" customHeight="1" ht="18.75">
      <c r="A9" s="5">
        <v>8</v>
      </c>
      <c r="B9" s="6" t="s">
        <v>16</v>
      </c>
      <c r="C9" s="6" t="s">
        <v>11</v>
      </c>
      <c r="D9" s="5">
        <v>18</v>
      </c>
      <c r="E9" s="5">
        <v>2</v>
      </c>
      <c r="F9" s="6" t="s">
        <v>18</v>
      </c>
      <c r="G9" s="6" t="s">
        <v>14</v>
      </c>
      <c r="H9" s="6" t="s">
        <v>13</v>
      </c>
      <c r="I9" s="5">
        <v>0</v>
      </c>
      <c r="J9" s="6" t="s">
        <v>15</v>
      </c>
    </row>
    <row x14ac:dyDescent="0.25" r="10" customHeight="1" ht="18.75">
      <c r="A10" s="5">
        <v>9</v>
      </c>
      <c r="B10" s="6" t="s">
        <v>21</v>
      </c>
      <c r="C10" s="6" t="s">
        <v>11</v>
      </c>
      <c r="D10" s="5">
        <v>70</v>
      </c>
      <c r="E10" s="5">
        <v>2</v>
      </c>
      <c r="F10" s="6" t="s">
        <v>18</v>
      </c>
      <c r="G10" s="6" t="s">
        <v>13</v>
      </c>
      <c r="H10" s="6" t="s">
        <v>13</v>
      </c>
      <c r="I10" s="5">
        <v>15</v>
      </c>
      <c r="J10" s="6" t="s">
        <v>15</v>
      </c>
    </row>
    <row x14ac:dyDescent="0.25" r="11" customHeight="1" ht="18.75">
      <c r="A11" s="9">
        <v>10</v>
      </c>
      <c r="B11" s="10" t="s">
        <v>10</v>
      </c>
      <c r="C11" s="10" t="s">
        <v>20</v>
      </c>
      <c r="D11" s="9">
        <v>15</v>
      </c>
      <c r="E11" s="9">
        <v>2</v>
      </c>
      <c r="F11" s="10" t="s">
        <v>18</v>
      </c>
      <c r="G11" s="10" t="s">
        <v>14</v>
      </c>
      <c r="H11" s="10" t="s">
        <v>14</v>
      </c>
      <c r="I11" s="9">
        <v>0</v>
      </c>
      <c r="J11" s="10" t="s">
        <v>22</v>
      </c>
    </row>
    <row x14ac:dyDescent="0.25" r="12" customHeight="1" ht="18.75">
      <c r="A12" s="5">
        <v>11</v>
      </c>
      <c r="B12" s="6" t="s">
        <v>21</v>
      </c>
      <c r="C12" s="6" t="s">
        <v>11</v>
      </c>
      <c r="D12" s="5">
        <v>65</v>
      </c>
      <c r="E12" s="5">
        <v>7</v>
      </c>
      <c r="F12" s="6" t="s">
        <v>12</v>
      </c>
      <c r="G12" s="6" t="s">
        <v>14</v>
      </c>
      <c r="H12" s="6" t="s">
        <v>14</v>
      </c>
      <c r="I12" s="5">
        <v>15</v>
      </c>
      <c r="J12" s="6" t="s">
        <v>15</v>
      </c>
    </row>
    <row x14ac:dyDescent="0.25" r="13" customHeight="1" ht="18.75">
      <c r="A13" s="5">
        <v>12</v>
      </c>
      <c r="B13" s="6" t="s">
        <v>16</v>
      </c>
      <c r="C13" s="6" t="s">
        <v>11</v>
      </c>
      <c r="D13" s="5">
        <v>50</v>
      </c>
      <c r="E13" s="5">
        <v>14</v>
      </c>
      <c r="F13" s="6" t="s">
        <v>18</v>
      </c>
      <c r="G13" s="6" t="s">
        <v>13</v>
      </c>
      <c r="H13" s="6" t="s">
        <v>14</v>
      </c>
      <c r="I13" s="5">
        <v>10</v>
      </c>
      <c r="J13" s="6" t="s">
        <v>22</v>
      </c>
    </row>
    <row x14ac:dyDescent="0.25" r="14" customHeight="1" ht="19.5">
      <c r="A14" s="9">
        <v>13</v>
      </c>
      <c r="B14" s="10" t="s">
        <v>21</v>
      </c>
      <c r="C14" s="10" t="s">
        <v>20</v>
      </c>
      <c r="D14" s="9">
        <v>4</v>
      </c>
      <c r="E14" s="9">
        <v>14</v>
      </c>
      <c r="F14" s="10" t="s">
        <v>18</v>
      </c>
      <c r="G14" s="10" t="s">
        <v>13</v>
      </c>
      <c r="H14" s="10" t="s">
        <v>13</v>
      </c>
      <c r="I14" s="9">
        <v>0</v>
      </c>
      <c r="J14" s="10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1.1</vt:lpstr>
      <vt:lpstr>1.2</vt:lpstr>
      <vt:lpstr>1.3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2025-10-14T02:58:08.680Z</dcterms:created>
  <dcterms:modified xsi:type="dcterms:W3CDTF">2025-10-14T02:58:08.680Z</dcterms:modified>
</cp:coreProperties>
</file>